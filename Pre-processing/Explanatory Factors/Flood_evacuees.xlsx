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ANING_2011-Q3" sheetId="1" r:id="rId4"/>
    <sheet state="visible" name="GORIO_2013-Q2" sheetId="2" r:id="rId5"/>
    <sheet state="visible" name="YOLANDA_2013-Q4" sheetId="3" r:id="rId6"/>
    <sheet state="visible" name="GLENDA_2014-Q3" sheetId="4" r:id="rId7"/>
    <sheet state="visible" name="CHEDENG_2015-Q2" sheetId="5" r:id="rId8"/>
    <sheet state="visible" name="QUINTA_2020-Q4" sheetId="6" r:id="rId9"/>
    <sheet state="visible" name="ROLLY_2020-Q4" sheetId="7" r:id="rId10"/>
    <sheet state="visible" name="ULYSSES_2020-Q4" sheetId="8" r:id="rId11"/>
    <sheet state="visible" name="PAENG_2022-Q4" sheetId="9" r:id="rId12"/>
    <sheet state="visible" name="FERDIE_2024-Q3" sheetId="10" r:id="rId13"/>
    <sheet state="visible" name="GENER_2024-Q3" sheetId="11" r:id="rId14"/>
    <sheet state="visible" name="RUBY_2014-Q4" sheetId="12" r:id="rId15"/>
    <sheet state="visible" name="OFEL_2024-Q4" sheetId="13" r:id="rId16"/>
    <sheet state="visible" name="PEPITO_2024-Q4" sheetId="14" r:id="rId17"/>
    <sheet state="visible" name="NIKA_2024-Q4" sheetId="15" r:id="rId18"/>
    <sheet state="visible" name="KRISTINE_2024-Q4" sheetId="16" r:id="rId19"/>
    <sheet state="visible" name="ENTENG_2024-Q3" sheetId="17" r:id="rId20"/>
  </sheets>
  <definedNames/>
  <calcPr/>
</workbook>
</file>

<file path=xl/sharedStrings.xml><?xml version="1.0" encoding="utf-8"?>
<sst xmlns="http://schemas.openxmlformats.org/spreadsheetml/2006/main" count="852" uniqueCount="51">
  <si>
    <t>Barangay no.</t>
  </si>
  <si>
    <t>Barangay</t>
  </si>
  <si>
    <t>Date</t>
  </si>
  <si>
    <t>No. of Families Evacuated/HH</t>
  </si>
  <si>
    <t>Total Individuals Evacuated</t>
  </si>
  <si>
    <t>Flooded?</t>
  </si>
  <si>
    <t>AGOS</t>
  </si>
  <si>
    <t>ALNAY</t>
  </si>
  <si>
    <t>ALOMON</t>
  </si>
  <si>
    <t>AMOGUIS</t>
  </si>
  <si>
    <t>ANOPOL</t>
  </si>
  <si>
    <t>APAD</t>
  </si>
  <si>
    <t>BALABA</t>
  </si>
  <si>
    <t>BALANGIBANG</t>
  </si>
  <si>
    <t>BALINAD</t>
  </si>
  <si>
    <t>BASUD</t>
  </si>
  <si>
    <t>BUYO</t>
  </si>
  <si>
    <t>CENTRO OCC.</t>
  </si>
  <si>
    <t>CENTRO ORIENTAL</t>
  </si>
  <si>
    <t>CEPRES</t>
  </si>
  <si>
    <t>COTMON</t>
  </si>
  <si>
    <t>COTNOGAN</t>
  </si>
  <si>
    <t>DANAO</t>
  </si>
  <si>
    <t>GABON</t>
  </si>
  <si>
    <t>GAMOT</t>
  </si>
  <si>
    <t>ITARAN</t>
  </si>
  <si>
    <t>KINALE</t>
  </si>
  <si>
    <t>KINUARTELAN</t>
  </si>
  <si>
    <t>LA MEDALLA</t>
  </si>
  <si>
    <t>LA PURISIMA</t>
  </si>
  <si>
    <t>LANIGAY</t>
  </si>
  <si>
    <t>LIDONG</t>
  </si>
  <si>
    <t>LOURDES</t>
  </si>
  <si>
    <t>MAGPANAMBO</t>
  </si>
  <si>
    <t>MAGURANG</t>
  </si>
  <si>
    <t>MATACON</t>
  </si>
  <si>
    <t>MAYNAGA</t>
  </si>
  <si>
    <t>MAYSUA</t>
  </si>
  <si>
    <t>MENDEZ</t>
  </si>
  <si>
    <t>NAPO</t>
  </si>
  <si>
    <t>PINAGDAPUGAN</t>
  </si>
  <si>
    <t>PINTOR</t>
  </si>
  <si>
    <t>PONSO</t>
  </si>
  <si>
    <t>SALVACION</t>
  </si>
  <si>
    <t>SAN ROQUE</t>
  </si>
  <si>
    <t>SANTICON</t>
  </si>
  <si>
    <t>STA.CRUZ</t>
  </si>
  <si>
    <t>STA.TERESITA</t>
  </si>
  <si>
    <t>SUGCAD</t>
  </si>
  <si>
    <t>UBALIW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</si>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</sst>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3" numFmtId="0" xfId="0" applyAlignment="1" applyBorder="1" applyFont="1">
      <alignment vertical="center"/>
    </xf>
    <xf borderId="0" fillId="0" fontId="2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40784.0</v>
      </c>
      <c r="D2" s="2">
        <v>111.0</v>
      </c>
      <c r="E2" s="2">
        <v>0.0</v>
      </c>
      <c r="F2" s="2">
        <f t="shared" ref="F2:F44" si="1">IF(OR(D2&gt;0, E2&gt;0), 1, 0)</f>
        <v>1</v>
      </c>
    </row>
    <row r="3">
      <c r="A3" s="2">
        <v>2.0</v>
      </c>
      <c r="B3" s="2" t="s">
        <v>7</v>
      </c>
      <c r="C3" s="3">
        <v>40784.0</v>
      </c>
      <c r="D3" s="2">
        <v>680.0</v>
      </c>
      <c r="E3" s="2">
        <v>0.0</v>
      </c>
      <c r="F3" s="2">
        <f t="shared" si="1"/>
        <v>1</v>
      </c>
    </row>
    <row r="4">
      <c r="A4" s="2">
        <v>3.0</v>
      </c>
      <c r="B4" s="2" t="s">
        <v>8</v>
      </c>
      <c r="C4" s="3">
        <v>40784.0</v>
      </c>
      <c r="D4" s="2">
        <v>290.0</v>
      </c>
      <c r="E4" s="2">
        <v>0.0</v>
      </c>
      <c r="F4" s="2">
        <f t="shared" si="1"/>
        <v>1</v>
      </c>
    </row>
    <row r="5">
      <c r="A5" s="2">
        <v>4.0</v>
      </c>
      <c r="B5" s="2" t="s">
        <v>9</v>
      </c>
      <c r="C5" s="3">
        <v>40784.0</v>
      </c>
      <c r="D5" s="2">
        <v>81.0</v>
      </c>
      <c r="E5" s="2">
        <v>0.0</v>
      </c>
      <c r="F5" s="2">
        <f t="shared" si="1"/>
        <v>1</v>
      </c>
    </row>
    <row r="6">
      <c r="A6" s="2">
        <v>5.0</v>
      </c>
      <c r="B6" s="2" t="s">
        <v>10</v>
      </c>
      <c r="C6" s="3">
        <v>40784.0</v>
      </c>
      <c r="D6" s="2">
        <v>30.0</v>
      </c>
      <c r="E6" s="2">
        <v>0.0</v>
      </c>
      <c r="F6" s="2">
        <f t="shared" si="1"/>
        <v>1</v>
      </c>
    </row>
    <row r="7">
      <c r="A7" s="2">
        <v>6.0</v>
      </c>
      <c r="B7" s="2" t="s">
        <v>11</v>
      </c>
      <c r="C7" s="3">
        <v>40784.0</v>
      </c>
      <c r="D7" s="2">
        <v>200.0</v>
      </c>
      <c r="E7" s="2">
        <v>0.0</v>
      </c>
      <c r="F7" s="2">
        <f t="shared" si="1"/>
        <v>1</v>
      </c>
    </row>
    <row r="8">
      <c r="A8" s="2">
        <v>7.0</v>
      </c>
      <c r="B8" s="2" t="s">
        <v>12</v>
      </c>
      <c r="C8" s="3">
        <v>40784.0</v>
      </c>
      <c r="D8" s="2">
        <v>21.0</v>
      </c>
      <c r="E8" s="2">
        <v>0.0</v>
      </c>
      <c r="F8" s="2">
        <f t="shared" si="1"/>
        <v>1</v>
      </c>
    </row>
    <row r="9">
      <c r="A9" s="2">
        <v>8.0</v>
      </c>
      <c r="B9" s="2" t="s">
        <v>13</v>
      </c>
      <c r="C9" s="3">
        <v>40784.0</v>
      </c>
      <c r="D9" s="2">
        <v>296.0</v>
      </c>
      <c r="E9" s="2">
        <v>0.0</v>
      </c>
      <c r="F9" s="2">
        <f t="shared" si="1"/>
        <v>1</v>
      </c>
    </row>
    <row r="10">
      <c r="A10" s="2">
        <v>9.0</v>
      </c>
      <c r="B10" s="2" t="s">
        <v>14</v>
      </c>
      <c r="C10" s="3">
        <v>40784.0</v>
      </c>
      <c r="D10" s="2">
        <v>500.0</v>
      </c>
      <c r="E10" s="2">
        <v>0.0</v>
      </c>
      <c r="F10" s="2">
        <f t="shared" si="1"/>
        <v>1</v>
      </c>
    </row>
    <row r="11">
      <c r="A11" s="2">
        <v>10.0</v>
      </c>
      <c r="B11" s="2" t="s">
        <v>15</v>
      </c>
      <c r="C11" s="3">
        <v>40784.0</v>
      </c>
      <c r="D11" s="2">
        <v>500.0</v>
      </c>
      <c r="E11" s="2">
        <v>0.0</v>
      </c>
      <c r="F11" s="2">
        <f t="shared" si="1"/>
        <v>1</v>
      </c>
    </row>
    <row r="12">
      <c r="A12" s="2">
        <v>11.0</v>
      </c>
      <c r="B12" s="2" t="s">
        <v>16</v>
      </c>
      <c r="C12" s="3">
        <v>40784.0</v>
      </c>
      <c r="D12" s="2">
        <v>75.0</v>
      </c>
      <c r="E12" s="2">
        <v>0.0</v>
      </c>
      <c r="F12" s="2">
        <f t="shared" si="1"/>
        <v>1</v>
      </c>
    </row>
    <row r="13">
      <c r="A13" s="2">
        <v>12.0</v>
      </c>
      <c r="B13" s="2" t="s">
        <v>17</v>
      </c>
      <c r="C13" s="3">
        <v>40784.0</v>
      </c>
      <c r="D13" s="2">
        <v>334.0</v>
      </c>
      <c r="E13" s="2">
        <v>0.0</v>
      </c>
      <c r="F13" s="2">
        <f t="shared" si="1"/>
        <v>1</v>
      </c>
    </row>
    <row r="14">
      <c r="A14" s="2">
        <v>13.0</v>
      </c>
      <c r="B14" s="2" t="s">
        <v>18</v>
      </c>
      <c r="C14" s="3">
        <v>40784.0</v>
      </c>
      <c r="D14" s="2">
        <v>390.0</v>
      </c>
      <c r="E14" s="2">
        <v>0.0</v>
      </c>
      <c r="F14" s="2">
        <f t="shared" si="1"/>
        <v>1</v>
      </c>
    </row>
    <row r="15">
      <c r="A15" s="2">
        <v>14.0</v>
      </c>
      <c r="B15" s="2" t="s">
        <v>19</v>
      </c>
      <c r="C15" s="3">
        <v>40784.0</v>
      </c>
      <c r="D15" s="2">
        <v>58.0</v>
      </c>
      <c r="E15" s="2">
        <v>0.0</v>
      </c>
      <c r="F15" s="2">
        <f t="shared" si="1"/>
        <v>1</v>
      </c>
    </row>
    <row r="16">
      <c r="A16" s="2">
        <v>15.0</v>
      </c>
      <c r="B16" s="2" t="s">
        <v>20</v>
      </c>
      <c r="C16" s="3">
        <v>40784.0</v>
      </c>
      <c r="D16" s="2">
        <v>85.0</v>
      </c>
      <c r="E16" s="2">
        <v>0.0</v>
      </c>
      <c r="F16" s="2">
        <f t="shared" si="1"/>
        <v>1</v>
      </c>
    </row>
    <row r="17">
      <c r="A17" s="2">
        <v>16.0</v>
      </c>
      <c r="B17" s="2" t="s">
        <v>21</v>
      </c>
      <c r="C17" s="3">
        <v>40784.0</v>
      </c>
      <c r="D17" s="2">
        <v>75.0</v>
      </c>
      <c r="E17" s="2">
        <v>0.0</v>
      </c>
      <c r="F17" s="2">
        <f t="shared" si="1"/>
        <v>1</v>
      </c>
    </row>
    <row r="18">
      <c r="A18" s="2">
        <v>17.0</v>
      </c>
      <c r="B18" s="2" t="s">
        <v>22</v>
      </c>
      <c r="C18" s="3">
        <v>40784.0</v>
      </c>
      <c r="D18" s="2">
        <v>101.0</v>
      </c>
      <c r="E18" s="2">
        <v>0.0</v>
      </c>
      <c r="F18" s="2">
        <f t="shared" si="1"/>
        <v>1</v>
      </c>
    </row>
    <row r="19">
      <c r="A19" s="2">
        <v>18.0</v>
      </c>
      <c r="B19" s="2" t="s">
        <v>23</v>
      </c>
      <c r="C19" s="3">
        <v>40784.0</v>
      </c>
      <c r="D19" s="2">
        <v>720.0</v>
      </c>
      <c r="E19" s="2">
        <v>0.0</v>
      </c>
      <c r="F19" s="2">
        <f t="shared" si="1"/>
        <v>1</v>
      </c>
    </row>
    <row r="20">
      <c r="A20" s="2">
        <v>19.0</v>
      </c>
      <c r="B20" s="2" t="s">
        <v>24</v>
      </c>
      <c r="C20" s="3">
        <v>40784.0</v>
      </c>
      <c r="D20" s="2">
        <v>140.0</v>
      </c>
      <c r="E20" s="2">
        <v>0.0</v>
      </c>
      <c r="F20" s="2">
        <f t="shared" si="1"/>
        <v>1</v>
      </c>
    </row>
    <row r="21">
      <c r="A21" s="2">
        <v>20.0</v>
      </c>
      <c r="B21" s="2" t="s">
        <v>25</v>
      </c>
      <c r="C21" s="3">
        <v>40784.0</v>
      </c>
      <c r="D21" s="2">
        <v>17.0</v>
      </c>
      <c r="E21" s="2">
        <v>0.0</v>
      </c>
      <c r="F21" s="2">
        <f t="shared" si="1"/>
        <v>1</v>
      </c>
    </row>
    <row r="22">
      <c r="A22" s="2">
        <v>21.0</v>
      </c>
      <c r="B22" s="2" t="s">
        <v>26</v>
      </c>
      <c r="C22" s="3">
        <v>40784.0</v>
      </c>
      <c r="D22" s="2">
        <v>510.0</v>
      </c>
      <c r="E22" s="2">
        <v>0.0</v>
      </c>
      <c r="F22" s="2">
        <f t="shared" si="1"/>
        <v>1</v>
      </c>
    </row>
    <row r="23">
      <c r="A23" s="2">
        <v>22.0</v>
      </c>
      <c r="B23" s="2" t="s">
        <v>27</v>
      </c>
      <c r="C23" s="3">
        <v>40784.0</v>
      </c>
      <c r="D23" s="2">
        <v>10.0</v>
      </c>
      <c r="E23" s="2">
        <v>0.0</v>
      </c>
      <c r="F23" s="2">
        <f t="shared" si="1"/>
        <v>1</v>
      </c>
    </row>
    <row r="24">
      <c r="A24" s="2">
        <v>23.0</v>
      </c>
      <c r="B24" s="2" t="s">
        <v>28</v>
      </c>
      <c r="C24" s="3">
        <v>40784.0</v>
      </c>
      <c r="D24" s="2">
        <v>50.0</v>
      </c>
      <c r="E24" s="2">
        <v>0.0</v>
      </c>
      <c r="F24" s="2">
        <f t="shared" si="1"/>
        <v>1</v>
      </c>
    </row>
    <row r="25">
      <c r="A25" s="2">
        <v>24.0</v>
      </c>
      <c r="B25" s="2" t="s">
        <v>29</v>
      </c>
      <c r="C25" s="3">
        <v>40784.0</v>
      </c>
      <c r="D25" s="2">
        <v>249.0</v>
      </c>
      <c r="E25" s="2">
        <v>0.0</v>
      </c>
      <c r="F25" s="2">
        <f t="shared" si="1"/>
        <v>1</v>
      </c>
    </row>
    <row r="26">
      <c r="A26" s="2">
        <v>25.0</v>
      </c>
      <c r="B26" s="2" t="s">
        <v>30</v>
      </c>
      <c r="C26" s="3">
        <v>40784.0</v>
      </c>
      <c r="D26" s="2">
        <v>254.0</v>
      </c>
      <c r="E26" s="2">
        <v>0.0</v>
      </c>
      <c r="F26" s="2">
        <f t="shared" si="1"/>
        <v>1</v>
      </c>
    </row>
    <row r="27">
      <c r="A27" s="2">
        <v>26.0</v>
      </c>
      <c r="B27" s="2" t="s">
        <v>31</v>
      </c>
      <c r="C27" s="3">
        <v>40784.0</v>
      </c>
      <c r="D27" s="2">
        <v>264.0</v>
      </c>
      <c r="E27" s="2">
        <v>0.0</v>
      </c>
      <c r="F27" s="2">
        <f t="shared" si="1"/>
        <v>1</v>
      </c>
    </row>
    <row r="28">
      <c r="A28" s="2">
        <v>27.0</v>
      </c>
      <c r="B28" s="2" t="s">
        <v>32</v>
      </c>
      <c r="C28" s="3">
        <v>40784.0</v>
      </c>
      <c r="D28" s="2">
        <v>70.0</v>
      </c>
      <c r="E28" s="2">
        <v>0.0</v>
      </c>
      <c r="F28" s="2">
        <f t="shared" si="1"/>
        <v>1</v>
      </c>
    </row>
    <row r="29">
      <c r="A29" s="2">
        <v>28.0</v>
      </c>
      <c r="B29" s="2" t="s">
        <v>33</v>
      </c>
      <c r="C29" s="3">
        <v>40784.0</v>
      </c>
      <c r="D29" s="2">
        <v>318.0</v>
      </c>
      <c r="E29" s="2">
        <v>0.0</v>
      </c>
      <c r="F29" s="2">
        <f t="shared" si="1"/>
        <v>1</v>
      </c>
    </row>
    <row r="30">
      <c r="A30" s="2">
        <v>29.0</v>
      </c>
      <c r="B30" s="2" t="s">
        <v>34</v>
      </c>
      <c r="C30" s="3">
        <v>40784.0</v>
      </c>
      <c r="D30" s="2">
        <v>800.0</v>
      </c>
      <c r="E30" s="2">
        <v>0.0</v>
      </c>
      <c r="F30" s="2">
        <f t="shared" si="1"/>
        <v>1</v>
      </c>
    </row>
    <row r="31">
      <c r="A31" s="2">
        <v>30.0</v>
      </c>
      <c r="B31" s="2" t="s">
        <v>35</v>
      </c>
      <c r="C31" s="3">
        <v>40784.0</v>
      </c>
      <c r="D31" s="2">
        <v>215.0</v>
      </c>
      <c r="E31" s="2">
        <v>0.0</v>
      </c>
      <c r="F31" s="2">
        <f t="shared" si="1"/>
        <v>1</v>
      </c>
    </row>
    <row r="32">
      <c r="A32" s="2">
        <v>31.0</v>
      </c>
      <c r="B32" s="2" t="s">
        <v>36</v>
      </c>
      <c r="C32" s="3">
        <v>40784.0</v>
      </c>
      <c r="D32" s="2">
        <v>40.0</v>
      </c>
      <c r="E32" s="2">
        <v>0.0</v>
      </c>
      <c r="F32" s="2">
        <f t="shared" si="1"/>
        <v>1</v>
      </c>
    </row>
    <row r="33">
      <c r="A33" s="2">
        <v>32.0</v>
      </c>
      <c r="B33" s="2" t="s">
        <v>37</v>
      </c>
      <c r="C33" s="3">
        <v>40784.0</v>
      </c>
      <c r="D33" s="2">
        <v>84.0</v>
      </c>
      <c r="E33" s="2">
        <v>0.0</v>
      </c>
      <c r="F33" s="2">
        <f t="shared" si="1"/>
        <v>1</v>
      </c>
    </row>
    <row r="34">
      <c r="A34" s="2">
        <v>33.0</v>
      </c>
      <c r="B34" s="2" t="s">
        <v>38</v>
      </c>
      <c r="C34" s="3">
        <v>40784.0</v>
      </c>
      <c r="D34" s="2">
        <v>152.0</v>
      </c>
      <c r="E34" s="2">
        <v>0.0</v>
      </c>
      <c r="F34" s="2">
        <f t="shared" si="1"/>
        <v>1</v>
      </c>
    </row>
    <row r="35">
      <c r="A35" s="2">
        <v>34.0</v>
      </c>
      <c r="B35" s="2" t="s">
        <v>39</v>
      </c>
      <c r="C35" s="3">
        <v>40784.0</v>
      </c>
      <c r="D35" s="2">
        <v>595.0</v>
      </c>
      <c r="E35" s="2">
        <v>0.0</v>
      </c>
      <c r="F35" s="2">
        <f t="shared" si="1"/>
        <v>1</v>
      </c>
    </row>
    <row r="36">
      <c r="A36" s="2">
        <v>35.0</v>
      </c>
      <c r="B36" s="2" t="s">
        <v>40</v>
      </c>
      <c r="C36" s="3">
        <v>40784.0</v>
      </c>
      <c r="D36" s="2">
        <v>102.0</v>
      </c>
      <c r="E36" s="2">
        <v>0.0</v>
      </c>
      <c r="F36" s="2">
        <f t="shared" si="1"/>
        <v>1</v>
      </c>
    </row>
    <row r="37">
      <c r="A37" s="2">
        <v>36.0</v>
      </c>
      <c r="B37" s="2" t="s">
        <v>41</v>
      </c>
      <c r="C37" s="3">
        <v>40784.0</v>
      </c>
      <c r="D37" s="2">
        <v>105.0</v>
      </c>
      <c r="E37" s="2">
        <v>0.0</v>
      </c>
      <c r="F37" s="2">
        <f t="shared" si="1"/>
        <v>1</v>
      </c>
    </row>
    <row r="38">
      <c r="A38" s="2">
        <v>37.0</v>
      </c>
      <c r="B38" s="2" t="s">
        <v>42</v>
      </c>
      <c r="C38" s="3">
        <v>40784.0</v>
      </c>
      <c r="D38" s="2">
        <v>1300.0</v>
      </c>
      <c r="E38" s="2">
        <v>0.0</v>
      </c>
      <c r="F38" s="2">
        <f t="shared" si="1"/>
        <v>1</v>
      </c>
    </row>
    <row r="39">
      <c r="A39" s="2">
        <v>38.0</v>
      </c>
      <c r="B39" s="2" t="s">
        <v>43</v>
      </c>
      <c r="C39" s="3">
        <v>40784.0</v>
      </c>
      <c r="D39" s="2">
        <v>77.0</v>
      </c>
      <c r="E39" s="2">
        <v>0.0</v>
      </c>
      <c r="F39" s="2">
        <f t="shared" si="1"/>
        <v>1</v>
      </c>
    </row>
    <row r="40">
      <c r="A40" s="2">
        <v>39.0</v>
      </c>
      <c r="B40" s="2" t="s">
        <v>44</v>
      </c>
      <c r="C40" s="3">
        <v>40784.0</v>
      </c>
      <c r="D40" s="2">
        <v>300.0</v>
      </c>
      <c r="E40" s="2">
        <v>0.0</v>
      </c>
      <c r="F40" s="2">
        <f t="shared" si="1"/>
        <v>1</v>
      </c>
    </row>
    <row r="41">
      <c r="A41" s="2">
        <v>40.0</v>
      </c>
      <c r="B41" s="2" t="s">
        <v>45</v>
      </c>
      <c r="C41" s="3">
        <v>40784.0</v>
      </c>
      <c r="D41" s="2">
        <v>150.0</v>
      </c>
      <c r="E41" s="2">
        <v>0.0</v>
      </c>
      <c r="F41" s="2">
        <f t="shared" si="1"/>
        <v>1</v>
      </c>
    </row>
    <row r="42">
      <c r="A42" s="2">
        <v>41.0</v>
      </c>
      <c r="B42" s="2" t="s">
        <v>46</v>
      </c>
      <c r="C42" s="3">
        <v>40784.0</v>
      </c>
      <c r="D42" s="2">
        <v>33.0</v>
      </c>
      <c r="E42" s="2">
        <v>0.0</v>
      </c>
      <c r="F42" s="2">
        <f t="shared" si="1"/>
        <v>1</v>
      </c>
    </row>
    <row r="43">
      <c r="A43" s="2">
        <v>42.0</v>
      </c>
      <c r="B43" s="2" t="s">
        <v>47</v>
      </c>
      <c r="C43" s="3">
        <v>40784.0</v>
      </c>
      <c r="D43" s="2">
        <v>250.0</v>
      </c>
      <c r="E43" s="2">
        <v>0.0</v>
      </c>
      <c r="F43" s="2">
        <f t="shared" si="1"/>
        <v>1</v>
      </c>
    </row>
    <row r="44">
      <c r="A44" s="2">
        <v>43.0</v>
      </c>
      <c r="B44" s="2" t="s">
        <v>48</v>
      </c>
      <c r="C44" s="3">
        <v>40784.0</v>
      </c>
      <c r="D44" s="2">
        <v>590.0</v>
      </c>
      <c r="E44" s="2">
        <v>0.0</v>
      </c>
      <c r="F44" s="2">
        <f t="shared" si="1"/>
        <v>1</v>
      </c>
    </row>
    <row r="45">
      <c r="A45" s="2">
        <v>44.0</v>
      </c>
      <c r="B45" s="2" t="s">
        <v>49</v>
      </c>
      <c r="C45" s="3">
        <v>40784.0</v>
      </c>
      <c r="D45" s="2">
        <v>478.0</v>
      </c>
      <c r="E45" s="2">
        <v>0.0</v>
      </c>
      <c r="F45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41454.0</v>
      </c>
      <c r="D2" s="2">
        <v>75.0</v>
      </c>
      <c r="E2" s="2">
        <v>0.0</v>
      </c>
      <c r="F2" s="2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41454.0</v>
      </c>
      <c r="D3" s="2">
        <v>0.0</v>
      </c>
      <c r="E3" s="2">
        <v>0.0</v>
      </c>
      <c r="F3" s="2">
        <f t="shared" si="1"/>
        <v>0</v>
      </c>
    </row>
    <row r="4">
      <c r="A4" s="2">
        <v>3.0</v>
      </c>
      <c r="B4" s="2" t="s">
        <v>8</v>
      </c>
      <c r="C4" s="3">
        <v>41454.0</v>
      </c>
      <c r="D4" s="2">
        <v>56.0</v>
      </c>
      <c r="E4" s="2">
        <v>0.0</v>
      </c>
      <c r="F4" s="2">
        <f t="shared" si="1"/>
        <v>1</v>
      </c>
    </row>
    <row r="5">
      <c r="A5" s="2">
        <v>4.0</v>
      </c>
      <c r="B5" s="2" t="s">
        <v>9</v>
      </c>
      <c r="C5" s="3">
        <v>41454.0</v>
      </c>
      <c r="D5" s="2">
        <v>35.0</v>
      </c>
      <c r="E5" s="2">
        <v>0.0</v>
      </c>
      <c r="F5" s="2">
        <f t="shared" si="1"/>
        <v>1</v>
      </c>
    </row>
    <row r="6">
      <c r="A6" s="2">
        <v>5.0</v>
      </c>
      <c r="B6" s="2" t="s">
        <v>10</v>
      </c>
      <c r="C6" s="3">
        <v>41454.0</v>
      </c>
      <c r="D6" s="2">
        <v>0.0</v>
      </c>
      <c r="E6" s="2">
        <v>0.0</v>
      </c>
      <c r="F6" s="2">
        <f t="shared" si="1"/>
        <v>0</v>
      </c>
    </row>
    <row r="7">
      <c r="A7" s="2">
        <v>6.0</v>
      </c>
      <c r="B7" s="2" t="s">
        <v>11</v>
      </c>
      <c r="C7" s="3">
        <v>41454.0</v>
      </c>
      <c r="D7" s="2">
        <v>36.0</v>
      </c>
      <c r="E7" s="2">
        <v>0.0</v>
      </c>
      <c r="F7" s="2">
        <f t="shared" si="1"/>
        <v>1</v>
      </c>
    </row>
    <row r="8">
      <c r="A8" s="2">
        <v>7.0</v>
      </c>
      <c r="B8" s="2" t="s">
        <v>12</v>
      </c>
      <c r="C8" s="3">
        <v>41454.0</v>
      </c>
      <c r="D8" s="2">
        <v>0.0</v>
      </c>
      <c r="E8" s="2">
        <v>0.0</v>
      </c>
      <c r="F8" s="2">
        <f t="shared" si="1"/>
        <v>0</v>
      </c>
    </row>
    <row r="9">
      <c r="A9" s="2">
        <v>8.0</v>
      </c>
      <c r="B9" s="2" t="s">
        <v>13</v>
      </c>
      <c r="C9" s="3">
        <v>41454.0</v>
      </c>
      <c r="D9" s="2">
        <v>55.0</v>
      </c>
      <c r="E9" s="2">
        <v>0.0</v>
      </c>
      <c r="F9" s="2">
        <f t="shared" si="1"/>
        <v>1</v>
      </c>
    </row>
    <row r="10">
      <c r="A10" s="2">
        <v>9.0</v>
      </c>
      <c r="B10" s="2" t="s">
        <v>14</v>
      </c>
      <c r="C10" s="3">
        <v>41454.0</v>
      </c>
      <c r="D10" s="2">
        <v>0.0</v>
      </c>
      <c r="E10" s="2">
        <v>0.0</v>
      </c>
      <c r="F10" s="2">
        <f t="shared" si="1"/>
        <v>0</v>
      </c>
    </row>
    <row r="11">
      <c r="A11" s="2">
        <v>10.0</v>
      </c>
      <c r="B11" s="2" t="s">
        <v>15</v>
      </c>
      <c r="C11" s="3">
        <v>41454.0</v>
      </c>
      <c r="D11" s="2">
        <v>75.0</v>
      </c>
      <c r="E11" s="2">
        <v>0.0</v>
      </c>
      <c r="F11" s="2">
        <f t="shared" si="1"/>
        <v>1</v>
      </c>
    </row>
    <row r="12">
      <c r="A12" s="2">
        <v>11.0</v>
      </c>
      <c r="B12" s="2" t="s">
        <v>16</v>
      </c>
      <c r="C12" s="3">
        <v>41454.0</v>
      </c>
      <c r="D12" s="2">
        <v>0.0</v>
      </c>
      <c r="E12" s="2">
        <v>0.0</v>
      </c>
      <c r="F12" s="2">
        <f t="shared" si="1"/>
        <v>0</v>
      </c>
    </row>
    <row r="13">
      <c r="A13" s="2">
        <v>12.0</v>
      </c>
      <c r="B13" s="2" t="s">
        <v>17</v>
      </c>
      <c r="C13" s="3">
        <v>41454.0</v>
      </c>
      <c r="D13" s="2">
        <v>64.0</v>
      </c>
      <c r="E13" s="2">
        <v>0.0</v>
      </c>
      <c r="F13" s="2">
        <f t="shared" si="1"/>
        <v>1</v>
      </c>
    </row>
    <row r="14">
      <c r="A14" s="2">
        <v>13.0</v>
      </c>
      <c r="B14" s="2" t="s">
        <v>18</v>
      </c>
      <c r="C14" s="3">
        <v>41454.0</v>
      </c>
      <c r="D14" s="2">
        <v>54.0</v>
      </c>
      <c r="E14" s="2">
        <v>0.0</v>
      </c>
      <c r="F14" s="2">
        <f t="shared" si="1"/>
        <v>1</v>
      </c>
    </row>
    <row r="15">
      <c r="A15" s="2">
        <v>14.0</v>
      </c>
      <c r="B15" s="2" t="s">
        <v>19</v>
      </c>
      <c r="C15" s="3">
        <v>41454.0</v>
      </c>
      <c r="D15" s="2">
        <v>0.0</v>
      </c>
      <c r="E15" s="2">
        <v>0.0</v>
      </c>
      <c r="F15" s="2">
        <f t="shared" si="1"/>
        <v>0</v>
      </c>
    </row>
    <row r="16">
      <c r="A16" s="2">
        <v>15.0</v>
      </c>
      <c r="B16" s="2" t="s">
        <v>20</v>
      </c>
      <c r="C16" s="3">
        <v>41454.0</v>
      </c>
      <c r="D16" s="2">
        <v>33.0</v>
      </c>
      <c r="E16" s="2">
        <v>0.0</v>
      </c>
      <c r="F16" s="2">
        <f t="shared" si="1"/>
        <v>1</v>
      </c>
    </row>
    <row r="17">
      <c r="A17" s="2">
        <v>16.0</v>
      </c>
      <c r="B17" s="2" t="s">
        <v>21</v>
      </c>
      <c r="C17" s="3">
        <v>41454.0</v>
      </c>
      <c r="D17" s="2">
        <v>0.0</v>
      </c>
      <c r="E17" s="2">
        <v>0.0</v>
      </c>
      <c r="F17" s="2">
        <f t="shared" si="1"/>
        <v>0</v>
      </c>
    </row>
    <row r="18">
      <c r="A18" s="2">
        <v>17.0</v>
      </c>
      <c r="B18" s="2" t="s">
        <v>22</v>
      </c>
      <c r="C18" s="3">
        <v>41454.0</v>
      </c>
      <c r="D18" s="2">
        <v>0.0</v>
      </c>
      <c r="E18" s="2">
        <v>0.0</v>
      </c>
      <c r="F18" s="2">
        <f t="shared" si="1"/>
        <v>0</v>
      </c>
    </row>
    <row r="19">
      <c r="A19" s="2">
        <v>18.0</v>
      </c>
      <c r="B19" s="2" t="s">
        <v>23</v>
      </c>
      <c r="C19" s="3">
        <v>41454.0</v>
      </c>
      <c r="D19" s="2">
        <v>60.0</v>
      </c>
      <c r="E19" s="2">
        <v>0.0</v>
      </c>
      <c r="F19" s="2">
        <f t="shared" si="1"/>
        <v>1</v>
      </c>
    </row>
    <row r="20">
      <c r="A20" s="2">
        <v>19.0</v>
      </c>
      <c r="B20" s="2" t="s">
        <v>24</v>
      </c>
      <c r="C20" s="3">
        <v>41454.0</v>
      </c>
      <c r="D20" s="2">
        <v>0.0</v>
      </c>
      <c r="E20" s="2">
        <v>0.0</v>
      </c>
      <c r="F20" s="2">
        <f t="shared" si="1"/>
        <v>0</v>
      </c>
    </row>
    <row r="21">
      <c r="A21" s="2">
        <v>20.0</v>
      </c>
      <c r="B21" s="2" t="s">
        <v>25</v>
      </c>
      <c r="C21" s="3">
        <v>41454.0</v>
      </c>
      <c r="D21" s="2">
        <v>0.0</v>
      </c>
      <c r="E21" s="2">
        <v>0.0</v>
      </c>
      <c r="F21" s="2">
        <f t="shared" si="1"/>
        <v>0</v>
      </c>
    </row>
    <row r="22">
      <c r="A22" s="2">
        <v>21.0</v>
      </c>
      <c r="B22" s="2" t="s">
        <v>26</v>
      </c>
      <c r="C22" s="3">
        <v>41454.0</v>
      </c>
      <c r="D22" s="2">
        <v>40.0</v>
      </c>
      <c r="E22" s="2">
        <v>0.0</v>
      </c>
      <c r="F22" s="2">
        <f t="shared" si="1"/>
        <v>1</v>
      </c>
    </row>
    <row r="23">
      <c r="A23" s="2">
        <v>22.0</v>
      </c>
      <c r="B23" s="2" t="s">
        <v>27</v>
      </c>
      <c r="C23" s="3">
        <v>41454.0</v>
      </c>
      <c r="D23" s="2">
        <v>0.0</v>
      </c>
      <c r="E23" s="2">
        <v>0.0</v>
      </c>
      <c r="F23" s="2">
        <f t="shared" si="1"/>
        <v>0</v>
      </c>
    </row>
    <row r="24">
      <c r="A24" s="2">
        <v>23.0</v>
      </c>
      <c r="B24" s="2" t="s">
        <v>28</v>
      </c>
      <c r="C24" s="3">
        <v>41454.0</v>
      </c>
      <c r="D24" s="2">
        <v>0.0</v>
      </c>
      <c r="E24" s="2">
        <v>0.0</v>
      </c>
      <c r="F24" s="2">
        <f t="shared" si="1"/>
        <v>0</v>
      </c>
    </row>
    <row r="25">
      <c r="A25" s="2">
        <v>24.0</v>
      </c>
      <c r="B25" s="2" t="s">
        <v>29</v>
      </c>
      <c r="C25" s="3">
        <v>41454.0</v>
      </c>
      <c r="D25" s="2">
        <v>0.0</v>
      </c>
      <c r="E25" s="2">
        <v>0.0</v>
      </c>
      <c r="F25" s="2">
        <f t="shared" si="1"/>
        <v>0</v>
      </c>
    </row>
    <row r="26">
      <c r="A26" s="2">
        <v>25.0</v>
      </c>
      <c r="B26" s="2" t="s">
        <v>30</v>
      </c>
      <c r="C26" s="3">
        <v>41454.0</v>
      </c>
      <c r="D26" s="2">
        <v>60.0</v>
      </c>
      <c r="E26" s="2">
        <v>0.0</v>
      </c>
      <c r="F26" s="2">
        <f t="shared" si="1"/>
        <v>1</v>
      </c>
    </row>
    <row r="27">
      <c r="A27" s="2">
        <v>26.0</v>
      </c>
      <c r="B27" s="2" t="s">
        <v>31</v>
      </c>
      <c r="C27" s="3">
        <v>41454.0</v>
      </c>
      <c r="D27" s="2">
        <v>0.0</v>
      </c>
      <c r="E27" s="2">
        <v>0.0</v>
      </c>
      <c r="F27" s="2">
        <f t="shared" si="1"/>
        <v>0</v>
      </c>
    </row>
    <row r="28">
      <c r="A28" s="2">
        <v>27.0</v>
      </c>
      <c r="B28" s="2" t="s">
        <v>32</v>
      </c>
      <c r="C28" s="3">
        <v>41454.0</v>
      </c>
      <c r="D28" s="2">
        <v>0.0</v>
      </c>
      <c r="E28" s="2">
        <v>0.0</v>
      </c>
      <c r="F28" s="2">
        <f t="shared" si="1"/>
        <v>0</v>
      </c>
    </row>
    <row r="29">
      <c r="A29" s="2">
        <v>28.0</v>
      </c>
      <c r="B29" s="2" t="s">
        <v>33</v>
      </c>
      <c r="C29" s="3">
        <v>41454.0</v>
      </c>
      <c r="D29" s="2">
        <v>0.0</v>
      </c>
      <c r="E29" s="2">
        <v>0.0</v>
      </c>
      <c r="F29" s="2">
        <f t="shared" si="1"/>
        <v>0</v>
      </c>
    </row>
    <row r="30">
      <c r="A30" s="2">
        <v>29.0</v>
      </c>
      <c r="B30" s="2" t="s">
        <v>34</v>
      </c>
      <c r="C30" s="3">
        <v>41454.0</v>
      </c>
      <c r="D30" s="2">
        <v>80.0</v>
      </c>
      <c r="E30" s="2">
        <v>0.0</v>
      </c>
      <c r="F30" s="2">
        <f t="shared" si="1"/>
        <v>1</v>
      </c>
    </row>
    <row r="31">
      <c r="A31" s="2">
        <v>30.0</v>
      </c>
      <c r="B31" s="2" t="s">
        <v>35</v>
      </c>
      <c r="C31" s="3">
        <v>41454.0</v>
      </c>
      <c r="D31" s="2">
        <v>60.0</v>
      </c>
      <c r="E31" s="2">
        <v>0.0</v>
      </c>
      <c r="F31" s="2">
        <f t="shared" si="1"/>
        <v>1</v>
      </c>
    </row>
    <row r="32">
      <c r="A32" s="2">
        <v>31.0</v>
      </c>
      <c r="B32" s="2" t="s">
        <v>36</v>
      </c>
      <c r="C32" s="3">
        <v>41454.0</v>
      </c>
      <c r="D32" s="2">
        <v>0.0</v>
      </c>
      <c r="E32" s="2">
        <v>0.0</v>
      </c>
      <c r="F32" s="2">
        <f t="shared" si="1"/>
        <v>0</v>
      </c>
    </row>
    <row r="33">
      <c r="A33" s="2">
        <v>32.0</v>
      </c>
      <c r="B33" s="2" t="s">
        <v>37</v>
      </c>
      <c r="C33" s="3">
        <v>41454.0</v>
      </c>
      <c r="D33" s="2">
        <v>0.0</v>
      </c>
      <c r="E33" s="2">
        <v>0.0</v>
      </c>
      <c r="F33" s="2">
        <f t="shared" si="1"/>
        <v>0</v>
      </c>
    </row>
    <row r="34">
      <c r="A34" s="2">
        <v>33.0</v>
      </c>
      <c r="B34" s="2" t="s">
        <v>38</v>
      </c>
      <c r="C34" s="3">
        <v>41454.0</v>
      </c>
      <c r="D34" s="2">
        <v>0.0</v>
      </c>
      <c r="E34" s="2">
        <v>0.0</v>
      </c>
      <c r="F34" s="2">
        <f t="shared" si="1"/>
        <v>0</v>
      </c>
    </row>
    <row r="35">
      <c r="A35" s="2">
        <v>34.0</v>
      </c>
      <c r="B35" s="2" t="s">
        <v>39</v>
      </c>
      <c r="C35" s="3">
        <v>41454.0</v>
      </c>
      <c r="D35" s="2">
        <v>0.0</v>
      </c>
      <c r="E35" s="2">
        <v>0.0</v>
      </c>
      <c r="F35" s="2">
        <f t="shared" si="1"/>
        <v>0</v>
      </c>
    </row>
    <row r="36">
      <c r="A36" s="2">
        <v>35.0</v>
      </c>
      <c r="B36" s="2" t="s">
        <v>40</v>
      </c>
      <c r="C36" s="3">
        <v>41454.0</v>
      </c>
      <c r="D36" s="2">
        <v>0.0</v>
      </c>
      <c r="E36" s="2">
        <v>0.0</v>
      </c>
      <c r="F36" s="2">
        <f t="shared" si="1"/>
        <v>0</v>
      </c>
    </row>
    <row r="37">
      <c r="A37" s="2">
        <v>36.0</v>
      </c>
      <c r="B37" s="2" t="s">
        <v>41</v>
      </c>
      <c r="C37" s="3">
        <v>41454.0</v>
      </c>
      <c r="D37" s="2">
        <v>30.0</v>
      </c>
      <c r="E37" s="2">
        <v>0.0</v>
      </c>
      <c r="F37" s="2">
        <f t="shared" si="1"/>
        <v>1</v>
      </c>
    </row>
    <row r="38">
      <c r="A38" s="2">
        <v>37.0</v>
      </c>
      <c r="B38" s="2" t="s">
        <v>42</v>
      </c>
      <c r="C38" s="3">
        <v>41454.0</v>
      </c>
      <c r="D38" s="2">
        <v>70.0</v>
      </c>
      <c r="E38" s="2">
        <v>0.0</v>
      </c>
      <c r="F38" s="2">
        <f t="shared" si="1"/>
        <v>1</v>
      </c>
    </row>
    <row r="39">
      <c r="A39" s="2">
        <v>38.0</v>
      </c>
      <c r="B39" s="2" t="s">
        <v>43</v>
      </c>
      <c r="C39" s="3">
        <v>41454.0</v>
      </c>
      <c r="D39" s="2">
        <v>0.0</v>
      </c>
      <c r="E39" s="2">
        <v>0.0</v>
      </c>
      <c r="F39" s="2">
        <f t="shared" si="1"/>
        <v>0</v>
      </c>
    </row>
    <row r="40">
      <c r="A40" s="2">
        <v>39.0</v>
      </c>
      <c r="B40" s="2" t="s">
        <v>44</v>
      </c>
      <c r="C40" s="3">
        <v>41454.0</v>
      </c>
      <c r="D40" s="2">
        <v>0.0</v>
      </c>
      <c r="E40" s="2">
        <v>0.0</v>
      </c>
      <c r="F40" s="2">
        <f t="shared" si="1"/>
        <v>0</v>
      </c>
    </row>
    <row r="41">
      <c r="A41" s="2">
        <v>40.0</v>
      </c>
      <c r="B41" s="2" t="s">
        <v>45</v>
      </c>
      <c r="C41" s="3">
        <v>41454.0</v>
      </c>
      <c r="D41" s="2">
        <v>48.0</v>
      </c>
      <c r="E41" s="2">
        <v>0.0</v>
      </c>
      <c r="F41" s="2">
        <f t="shared" si="1"/>
        <v>1</v>
      </c>
    </row>
    <row r="42">
      <c r="A42" s="2">
        <v>41.0</v>
      </c>
      <c r="B42" s="2" t="s">
        <v>46</v>
      </c>
      <c r="C42" s="3">
        <v>41454.0</v>
      </c>
      <c r="D42" s="2">
        <v>41.0</v>
      </c>
      <c r="E42" s="2">
        <v>0.0</v>
      </c>
      <c r="F42" s="2">
        <f t="shared" si="1"/>
        <v>1</v>
      </c>
    </row>
    <row r="43">
      <c r="A43" s="2">
        <v>42.0</v>
      </c>
      <c r="B43" s="2" t="s">
        <v>47</v>
      </c>
      <c r="C43" s="3">
        <v>41454.0</v>
      </c>
      <c r="D43" s="2">
        <v>0.0</v>
      </c>
      <c r="E43" s="2">
        <v>0.0</v>
      </c>
      <c r="F43" s="2">
        <f t="shared" si="1"/>
        <v>0</v>
      </c>
    </row>
    <row r="44">
      <c r="A44" s="2">
        <v>43.0</v>
      </c>
      <c r="B44" s="2" t="s">
        <v>48</v>
      </c>
      <c r="C44" s="3">
        <v>41454.0</v>
      </c>
      <c r="D44" s="2">
        <v>45.0</v>
      </c>
      <c r="E44" s="2">
        <v>0.0</v>
      </c>
      <c r="F44" s="2">
        <f t="shared" si="1"/>
        <v>1</v>
      </c>
    </row>
    <row r="45">
      <c r="A45" s="2">
        <v>44.0</v>
      </c>
      <c r="B45" s="2" t="s">
        <v>49</v>
      </c>
      <c r="C45" s="3">
        <v>41454.0</v>
      </c>
      <c r="D45" s="2">
        <v>70.0</v>
      </c>
      <c r="E45" s="2">
        <v>0.0</v>
      </c>
      <c r="F45" s="2">
        <f t="shared" si="1"/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41587.0</v>
      </c>
      <c r="D2" s="2">
        <v>98.0</v>
      </c>
      <c r="E2" s="2">
        <v>389.0</v>
      </c>
      <c r="F2" s="2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41587.0</v>
      </c>
      <c r="D3" s="2">
        <v>252.0</v>
      </c>
      <c r="E3" s="2">
        <v>302.0</v>
      </c>
      <c r="F3" s="2">
        <f t="shared" si="1"/>
        <v>1</v>
      </c>
    </row>
    <row r="4">
      <c r="A4" s="2">
        <v>3.0</v>
      </c>
      <c r="B4" s="2" t="s">
        <v>8</v>
      </c>
      <c r="C4" s="3">
        <v>41587.0</v>
      </c>
      <c r="D4" s="2">
        <v>184.0</v>
      </c>
      <c r="E4" s="2">
        <v>686.0</v>
      </c>
      <c r="F4" s="2">
        <f t="shared" si="1"/>
        <v>1</v>
      </c>
    </row>
    <row r="5">
      <c r="A5" s="2">
        <v>4.0</v>
      </c>
      <c r="B5" s="2" t="s">
        <v>9</v>
      </c>
      <c r="C5" s="3">
        <v>41587.0</v>
      </c>
      <c r="D5" s="2">
        <v>107.0</v>
      </c>
      <c r="E5" s="2">
        <v>135.0</v>
      </c>
      <c r="F5" s="2">
        <f t="shared" si="1"/>
        <v>1</v>
      </c>
    </row>
    <row r="6">
      <c r="A6" s="2">
        <v>5.0</v>
      </c>
      <c r="B6" s="2" t="s">
        <v>10</v>
      </c>
      <c r="C6" s="3">
        <v>41587.0</v>
      </c>
      <c r="D6" s="2">
        <v>97.0</v>
      </c>
      <c r="E6" s="2">
        <v>428.0</v>
      </c>
      <c r="F6" s="2">
        <f t="shared" si="1"/>
        <v>1</v>
      </c>
    </row>
    <row r="7">
      <c r="A7" s="2">
        <v>6.0</v>
      </c>
      <c r="B7" s="2" t="s">
        <v>11</v>
      </c>
      <c r="C7" s="3">
        <v>41587.0</v>
      </c>
      <c r="D7" s="2">
        <v>40.0</v>
      </c>
      <c r="E7" s="2">
        <v>130.0</v>
      </c>
      <c r="F7" s="2">
        <f t="shared" si="1"/>
        <v>1</v>
      </c>
    </row>
    <row r="8">
      <c r="A8" s="2">
        <v>7.0</v>
      </c>
      <c r="B8" s="2" t="s">
        <v>12</v>
      </c>
      <c r="C8" s="3">
        <v>41587.0</v>
      </c>
      <c r="D8" s="2">
        <v>60.0</v>
      </c>
      <c r="E8" s="2">
        <v>0.0</v>
      </c>
      <c r="F8" s="2">
        <f t="shared" si="1"/>
        <v>1</v>
      </c>
    </row>
    <row r="9">
      <c r="A9" s="2">
        <v>8.0</v>
      </c>
      <c r="B9" s="2" t="s">
        <v>13</v>
      </c>
      <c r="C9" s="3">
        <v>41587.0</v>
      </c>
      <c r="D9" s="2">
        <v>181.0</v>
      </c>
      <c r="E9" s="2">
        <v>407.0</v>
      </c>
      <c r="F9" s="2">
        <f t="shared" si="1"/>
        <v>1</v>
      </c>
    </row>
    <row r="10">
      <c r="A10" s="2">
        <v>9.0</v>
      </c>
      <c r="B10" s="2" t="s">
        <v>14</v>
      </c>
      <c r="C10" s="3">
        <v>41587.0</v>
      </c>
      <c r="D10" s="2">
        <v>170.0</v>
      </c>
      <c r="E10" s="2">
        <v>850.0</v>
      </c>
      <c r="F10" s="2">
        <f t="shared" si="1"/>
        <v>1</v>
      </c>
    </row>
    <row r="11">
      <c r="A11" s="2">
        <v>10.0</v>
      </c>
      <c r="B11" s="2" t="s">
        <v>15</v>
      </c>
      <c r="C11" s="3">
        <v>41587.0</v>
      </c>
      <c r="D11" s="2">
        <v>162.0</v>
      </c>
      <c r="E11" s="2">
        <v>689.0</v>
      </c>
      <c r="F11" s="2">
        <f t="shared" si="1"/>
        <v>1</v>
      </c>
    </row>
    <row r="12">
      <c r="A12" s="2">
        <v>11.0</v>
      </c>
      <c r="B12" s="2" t="s">
        <v>16</v>
      </c>
      <c r="C12" s="3">
        <v>41587.0</v>
      </c>
      <c r="D12" s="2">
        <v>116.0</v>
      </c>
      <c r="E12" s="2">
        <v>0.0</v>
      </c>
      <c r="F12" s="2">
        <f t="shared" si="1"/>
        <v>1</v>
      </c>
    </row>
    <row r="13">
      <c r="A13" s="2">
        <v>12.0</v>
      </c>
      <c r="B13" s="2" t="s">
        <v>17</v>
      </c>
      <c r="C13" s="3">
        <v>41587.0</v>
      </c>
      <c r="D13" s="2">
        <v>104.0</v>
      </c>
      <c r="E13" s="2">
        <v>304.0</v>
      </c>
      <c r="F13" s="2">
        <f t="shared" si="1"/>
        <v>1</v>
      </c>
    </row>
    <row r="14">
      <c r="A14" s="2">
        <v>13.0</v>
      </c>
      <c r="B14" s="2" t="s">
        <v>18</v>
      </c>
      <c r="C14" s="3">
        <v>41587.0</v>
      </c>
      <c r="D14" s="2">
        <v>34.0</v>
      </c>
      <c r="E14" s="2">
        <v>132.0</v>
      </c>
      <c r="F14" s="2">
        <f t="shared" si="1"/>
        <v>1</v>
      </c>
    </row>
    <row r="15">
      <c r="A15" s="2">
        <v>14.0</v>
      </c>
      <c r="B15" s="2" t="s">
        <v>19</v>
      </c>
      <c r="C15" s="3">
        <v>41587.0</v>
      </c>
      <c r="D15" s="2">
        <v>142.0</v>
      </c>
      <c r="E15" s="2">
        <v>0.0</v>
      </c>
      <c r="F15" s="2">
        <f t="shared" si="1"/>
        <v>1</v>
      </c>
    </row>
    <row r="16">
      <c r="A16" s="2">
        <v>15.0</v>
      </c>
      <c r="B16" s="2" t="s">
        <v>20</v>
      </c>
      <c r="C16" s="3">
        <v>41587.0</v>
      </c>
      <c r="D16" s="2">
        <v>91.0</v>
      </c>
      <c r="E16" s="2">
        <v>457.0</v>
      </c>
      <c r="F16" s="2">
        <f t="shared" si="1"/>
        <v>1</v>
      </c>
    </row>
    <row r="17">
      <c r="A17" s="2">
        <v>16.0</v>
      </c>
      <c r="B17" s="2" t="s">
        <v>21</v>
      </c>
      <c r="C17" s="3">
        <v>41587.0</v>
      </c>
      <c r="D17" s="2">
        <v>41.0</v>
      </c>
      <c r="E17" s="2">
        <v>161.0</v>
      </c>
      <c r="F17" s="2">
        <f t="shared" si="1"/>
        <v>1</v>
      </c>
    </row>
    <row r="18">
      <c r="A18" s="2">
        <v>17.0</v>
      </c>
      <c r="B18" s="2" t="s">
        <v>22</v>
      </c>
      <c r="C18" s="3">
        <v>41587.0</v>
      </c>
      <c r="D18" s="2">
        <v>65.0</v>
      </c>
      <c r="E18" s="2">
        <v>250.0</v>
      </c>
      <c r="F18" s="2">
        <f t="shared" si="1"/>
        <v>1</v>
      </c>
    </row>
    <row r="19">
      <c r="A19" s="2">
        <v>18.0</v>
      </c>
      <c r="B19" s="2" t="s">
        <v>23</v>
      </c>
      <c r="C19" s="3">
        <v>41587.0</v>
      </c>
      <c r="D19" s="2">
        <v>200.0</v>
      </c>
      <c r="E19" s="2">
        <v>700.0</v>
      </c>
      <c r="F19" s="2">
        <f t="shared" si="1"/>
        <v>1</v>
      </c>
    </row>
    <row r="20">
      <c r="A20" s="2">
        <v>19.0</v>
      </c>
      <c r="B20" s="2" t="s">
        <v>24</v>
      </c>
      <c r="C20" s="3">
        <v>41587.0</v>
      </c>
      <c r="D20" s="2">
        <v>154.0</v>
      </c>
      <c r="E20" s="2">
        <v>378.0</v>
      </c>
      <c r="F20" s="2">
        <f t="shared" si="1"/>
        <v>1</v>
      </c>
    </row>
    <row r="21">
      <c r="A21" s="2">
        <v>20.0</v>
      </c>
      <c r="B21" s="2" t="s">
        <v>25</v>
      </c>
      <c r="C21" s="3">
        <v>41587.0</v>
      </c>
      <c r="D21" s="2">
        <v>170.0</v>
      </c>
      <c r="E21" s="2">
        <v>0.0</v>
      </c>
      <c r="F21" s="2">
        <f t="shared" si="1"/>
        <v>1</v>
      </c>
    </row>
    <row r="22">
      <c r="A22" s="2">
        <v>21.0</v>
      </c>
      <c r="B22" s="2" t="s">
        <v>26</v>
      </c>
      <c r="C22" s="3">
        <v>41587.0</v>
      </c>
      <c r="D22" s="2">
        <v>0.0</v>
      </c>
      <c r="E22" s="2">
        <v>0.0</v>
      </c>
      <c r="F22" s="2">
        <f t="shared" si="1"/>
        <v>0</v>
      </c>
    </row>
    <row r="23">
      <c r="A23" s="2">
        <v>22.0</v>
      </c>
      <c r="B23" s="2" t="s">
        <v>27</v>
      </c>
      <c r="C23" s="3">
        <v>41587.0</v>
      </c>
      <c r="D23" s="2">
        <v>93.0</v>
      </c>
      <c r="E23" s="2">
        <v>369.0</v>
      </c>
      <c r="F23" s="2">
        <f t="shared" si="1"/>
        <v>1</v>
      </c>
    </row>
    <row r="24">
      <c r="A24" s="2">
        <v>23.0</v>
      </c>
      <c r="B24" s="2" t="s">
        <v>28</v>
      </c>
      <c r="C24" s="3">
        <v>41587.0</v>
      </c>
      <c r="D24" s="2">
        <v>62.0</v>
      </c>
      <c r="E24" s="2">
        <v>264.0</v>
      </c>
      <c r="F24" s="2">
        <f t="shared" si="1"/>
        <v>1</v>
      </c>
    </row>
    <row r="25">
      <c r="A25" s="2">
        <v>24.0</v>
      </c>
      <c r="B25" s="2" t="s">
        <v>29</v>
      </c>
      <c r="C25" s="3">
        <v>41587.0</v>
      </c>
      <c r="D25" s="2">
        <v>55.0</v>
      </c>
      <c r="E25" s="2">
        <v>298.0</v>
      </c>
      <c r="F25" s="2">
        <f t="shared" si="1"/>
        <v>1</v>
      </c>
    </row>
    <row r="26">
      <c r="A26" s="2">
        <v>25.0</v>
      </c>
      <c r="B26" s="2" t="s">
        <v>30</v>
      </c>
      <c r="C26" s="3">
        <v>41587.0</v>
      </c>
      <c r="D26" s="2">
        <v>0.0</v>
      </c>
      <c r="E26" s="2">
        <v>0.0</v>
      </c>
      <c r="F26" s="2">
        <f t="shared" si="1"/>
        <v>0</v>
      </c>
    </row>
    <row r="27">
      <c r="A27" s="2">
        <v>26.0</v>
      </c>
      <c r="B27" s="2" t="s">
        <v>31</v>
      </c>
      <c r="C27" s="3">
        <v>41587.0</v>
      </c>
      <c r="D27" s="2">
        <v>241.0</v>
      </c>
      <c r="E27" s="2">
        <v>836.0</v>
      </c>
      <c r="F27" s="2">
        <f t="shared" si="1"/>
        <v>1</v>
      </c>
    </row>
    <row r="28">
      <c r="A28" s="2">
        <v>27.0</v>
      </c>
      <c r="B28" s="2" t="s">
        <v>32</v>
      </c>
      <c r="C28" s="3">
        <v>41587.0</v>
      </c>
      <c r="D28" s="2">
        <v>66.0</v>
      </c>
      <c r="E28" s="2">
        <v>313.0</v>
      </c>
      <c r="F28" s="2">
        <f t="shared" si="1"/>
        <v>1</v>
      </c>
    </row>
    <row r="29">
      <c r="A29" s="2">
        <v>28.0</v>
      </c>
      <c r="B29" s="2" t="s">
        <v>33</v>
      </c>
      <c r="C29" s="3">
        <v>41587.0</v>
      </c>
      <c r="D29" s="2">
        <v>300.0</v>
      </c>
      <c r="E29" s="2">
        <v>0.0</v>
      </c>
      <c r="F29" s="2">
        <f t="shared" si="1"/>
        <v>1</v>
      </c>
    </row>
    <row r="30">
      <c r="A30" s="2">
        <v>29.0</v>
      </c>
      <c r="B30" s="2" t="s">
        <v>34</v>
      </c>
      <c r="C30" s="3">
        <v>41587.0</v>
      </c>
      <c r="D30" s="2">
        <v>0.0</v>
      </c>
      <c r="E30" s="2">
        <v>0.0</v>
      </c>
      <c r="F30" s="2">
        <f t="shared" si="1"/>
        <v>0</v>
      </c>
    </row>
    <row r="31">
      <c r="A31" s="2">
        <v>30.0</v>
      </c>
      <c r="B31" s="2" t="s">
        <v>35</v>
      </c>
      <c r="C31" s="3">
        <v>41587.0</v>
      </c>
      <c r="D31" s="2">
        <v>215.0</v>
      </c>
      <c r="E31" s="2">
        <v>918.0</v>
      </c>
      <c r="F31" s="2">
        <f t="shared" si="1"/>
        <v>1</v>
      </c>
    </row>
    <row r="32">
      <c r="A32" s="2">
        <v>31.0</v>
      </c>
      <c r="B32" s="2" t="s">
        <v>36</v>
      </c>
      <c r="C32" s="3">
        <v>41587.0</v>
      </c>
      <c r="D32" s="2">
        <v>155.0</v>
      </c>
      <c r="E32" s="2">
        <v>602.0</v>
      </c>
      <c r="F32" s="2">
        <f t="shared" si="1"/>
        <v>1</v>
      </c>
    </row>
    <row r="33">
      <c r="A33" s="2">
        <v>32.0</v>
      </c>
      <c r="B33" s="2" t="s">
        <v>37</v>
      </c>
      <c r="C33" s="3">
        <v>41587.0</v>
      </c>
      <c r="D33" s="2">
        <v>95.0</v>
      </c>
      <c r="E33" s="2">
        <v>475.0</v>
      </c>
      <c r="F33" s="2">
        <f t="shared" si="1"/>
        <v>1</v>
      </c>
    </row>
    <row r="34">
      <c r="A34" s="2">
        <v>33.0</v>
      </c>
      <c r="B34" s="2" t="s">
        <v>38</v>
      </c>
      <c r="C34" s="3">
        <v>41587.0</v>
      </c>
      <c r="D34" s="2">
        <v>220.0</v>
      </c>
      <c r="E34" s="2">
        <v>320.0</v>
      </c>
      <c r="F34" s="2">
        <f t="shared" si="1"/>
        <v>1</v>
      </c>
    </row>
    <row r="35">
      <c r="A35" s="2">
        <v>34.0</v>
      </c>
      <c r="B35" s="2" t="s">
        <v>39</v>
      </c>
      <c r="C35" s="3">
        <v>41587.0</v>
      </c>
      <c r="D35" s="2">
        <v>461.0</v>
      </c>
      <c r="E35" s="2">
        <v>1748.0</v>
      </c>
      <c r="F35" s="2">
        <f t="shared" si="1"/>
        <v>1</v>
      </c>
    </row>
    <row r="36">
      <c r="A36" s="2">
        <v>35.0</v>
      </c>
      <c r="B36" s="2" t="s">
        <v>40</v>
      </c>
      <c r="C36" s="3">
        <v>41587.0</v>
      </c>
      <c r="D36" s="2">
        <v>125.0</v>
      </c>
      <c r="E36" s="2">
        <v>620.0</v>
      </c>
      <c r="F36" s="2">
        <f t="shared" si="1"/>
        <v>1</v>
      </c>
    </row>
    <row r="37">
      <c r="A37" s="2">
        <v>36.0</v>
      </c>
      <c r="B37" s="2" t="s">
        <v>41</v>
      </c>
      <c r="C37" s="3">
        <v>41587.0</v>
      </c>
      <c r="D37" s="2">
        <v>76.0</v>
      </c>
      <c r="E37" s="2">
        <v>232.0</v>
      </c>
      <c r="F37" s="2">
        <f t="shared" si="1"/>
        <v>1</v>
      </c>
    </row>
    <row r="38">
      <c r="A38" s="2">
        <v>37.0</v>
      </c>
      <c r="B38" s="2" t="s">
        <v>42</v>
      </c>
      <c r="C38" s="3">
        <v>41587.0</v>
      </c>
      <c r="D38" s="2">
        <v>130.0</v>
      </c>
      <c r="E38" s="2">
        <v>462.0</v>
      </c>
      <c r="F38" s="2">
        <f t="shared" si="1"/>
        <v>1</v>
      </c>
    </row>
    <row r="39">
      <c r="A39" s="2">
        <v>38.0</v>
      </c>
      <c r="B39" s="2" t="s">
        <v>43</v>
      </c>
      <c r="C39" s="3">
        <v>41587.0</v>
      </c>
      <c r="D39" s="2">
        <v>92.0</v>
      </c>
      <c r="E39" s="2">
        <v>368.0</v>
      </c>
      <c r="F39" s="2">
        <f t="shared" si="1"/>
        <v>1</v>
      </c>
    </row>
    <row r="40">
      <c r="A40" s="2">
        <v>39.0</v>
      </c>
      <c r="B40" s="2" t="s">
        <v>44</v>
      </c>
      <c r="C40" s="3">
        <v>41587.0</v>
      </c>
      <c r="D40" s="2">
        <v>60.0</v>
      </c>
      <c r="E40" s="2">
        <v>173.0</v>
      </c>
      <c r="F40" s="2">
        <f t="shared" si="1"/>
        <v>1</v>
      </c>
    </row>
    <row r="41">
      <c r="A41" s="2">
        <v>40.0</v>
      </c>
      <c r="B41" s="2" t="s">
        <v>45</v>
      </c>
      <c r="C41" s="3">
        <v>41587.0</v>
      </c>
      <c r="D41" s="2">
        <v>43.0</v>
      </c>
      <c r="E41" s="2">
        <v>174.0</v>
      </c>
      <c r="F41" s="2">
        <f t="shared" si="1"/>
        <v>1</v>
      </c>
    </row>
    <row r="42">
      <c r="A42" s="2">
        <v>41.0</v>
      </c>
      <c r="B42" s="2" t="s">
        <v>46</v>
      </c>
      <c r="C42" s="3">
        <v>41587.0</v>
      </c>
      <c r="D42" s="2">
        <v>55.0</v>
      </c>
      <c r="E42" s="2">
        <v>240.0</v>
      </c>
      <c r="F42" s="2">
        <f t="shared" si="1"/>
        <v>1</v>
      </c>
    </row>
    <row r="43">
      <c r="A43" s="2">
        <v>42.0</v>
      </c>
      <c r="B43" s="2" t="s">
        <v>47</v>
      </c>
      <c r="C43" s="3">
        <v>41587.0</v>
      </c>
      <c r="D43" s="2">
        <v>16.0</v>
      </c>
      <c r="E43" s="2">
        <v>0.0</v>
      </c>
      <c r="F43" s="2">
        <f t="shared" si="1"/>
        <v>1</v>
      </c>
    </row>
    <row r="44">
      <c r="A44" s="2">
        <v>43.0</v>
      </c>
      <c r="B44" s="2" t="s">
        <v>48</v>
      </c>
      <c r="C44" s="3">
        <v>41587.0</v>
      </c>
      <c r="D44" s="2">
        <v>0.0</v>
      </c>
      <c r="E44" s="2">
        <v>0.0</v>
      </c>
      <c r="F44" s="2">
        <f t="shared" si="1"/>
        <v>0</v>
      </c>
    </row>
    <row r="45">
      <c r="A45" s="2">
        <v>44.0</v>
      </c>
      <c r="B45" s="2" t="s">
        <v>49</v>
      </c>
      <c r="C45" s="3">
        <v>41587.0</v>
      </c>
      <c r="D45" s="2">
        <v>104.0</v>
      </c>
      <c r="E45" s="2">
        <v>378.0</v>
      </c>
      <c r="F45" s="2">
        <f t="shared" si="1"/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41837.0</v>
      </c>
      <c r="D2" s="4">
        <v>111.0</v>
      </c>
      <c r="E2" s="2">
        <v>0.0</v>
      </c>
      <c r="F2" s="5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41837.0</v>
      </c>
      <c r="D3" s="2">
        <v>0.0</v>
      </c>
      <c r="E3" s="2">
        <v>0.0</v>
      </c>
      <c r="F3" s="5">
        <f t="shared" si="1"/>
        <v>0</v>
      </c>
    </row>
    <row r="4">
      <c r="A4" s="2">
        <v>3.0</v>
      </c>
      <c r="B4" s="2" t="s">
        <v>8</v>
      </c>
      <c r="C4" s="3">
        <v>41837.0</v>
      </c>
      <c r="D4" s="2">
        <f>170+34</f>
        <v>204</v>
      </c>
      <c r="E4" s="2">
        <v>0.0</v>
      </c>
      <c r="F4" s="5">
        <f t="shared" si="1"/>
        <v>1</v>
      </c>
    </row>
    <row r="5">
      <c r="A5" s="2">
        <v>4.0</v>
      </c>
      <c r="B5" s="2" t="s">
        <v>9</v>
      </c>
      <c r="C5" s="3">
        <v>41837.0</v>
      </c>
      <c r="D5" s="2">
        <v>81.0</v>
      </c>
      <c r="E5" s="2">
        <v>133.0</v>
      </c>
      <c r="F5" s="5">
        <f t="shared" si="1"/>
        <v>1</v>
      </c>
    </row>
    <row r="6">
      <c r="A6" s="2">
        <v>5.0</v>
      </c>
      <c r="B6" s="2" t="s">
        <v>10</v>
      </c>
      <c r="C6" s="3">
        <v>41837.0</v>
      </c>
      <c r="D6" s="2">
        <v>47.0</v>
      </c>
      <c r="E6" s="2">
        <v>0.0</v>
      </c>
      <c r="F6" s="5">
        <f t="shared" si="1"/>
        <v>1</v>
      </c>
    </row>
    <row r="7">
      <c r="A7" s="2">
        <v>6.0</v>
      </c>
      <c r="B7" s="2" t="s">
        <v>11</v>
      </c>
      <c r="C7" s="3">
        <v>41837.0</v>
      </c>
      <c r="D7" s="2">
        <v>0.0</v>
      </c>
      <c r="E7" s="2">
        <v>0.0</v>
      </c>
      <c r="F7" s="5">
        <f t="shared" si="1"/>
        <v>0</v>
      </c>
    </row>
    <row r="8">
      <c r="A8" s="2">
        <v>7.0</v>
      </c>
      <c r="B8" s="2" t="s">
        <v>12</v>
      </c>
      <c r="C8" s="3">
        <v>41837.0</v>
      </c>
      <c r="D8" s="2">
        <v>0.0</v>
      </c>
      <c r="E8" s="2">
        <v>0.0</v>
      </c>
      <c r="F8" s="5">
        <f t="shared" si="1"/>
        <v>0</v>
      </c>
    </row>
    <row r="9">
      <c r="A9" s="2">
        <v>8.0</v>
      </c>
      <c r="B9" s="2" t="s">
        <v>13</v>
      </c>
      <c r="C9" s="3">
        <v>41837.0</v>
      </c>
      <c r="D9" s="2">
        <f>180+35</f>
        <v>215</v>
      </c>
      <c r="E9" s="2">
        <v>188.0</v>
      </c>
      <c r="F9" s="5">
        <f t="shared" si="1"/>
        <v>1</v>
      </c>
    </row>
    <row r="10">
      <c r="A10" s="2">
        <v>9.0</v>
      </c>
      <c r="B10" s="2" t="s">
        <v>14</v>
      </c>
      <c r="C10" s="3">
        <v>41837.0</v>
      </c>
      <c r="D10" s="2">
        <v>250.0</v>
      </c>
      <c r="E10" s="2">
        <v>0.0</v>
      </c>
      <c r="F10" s="5">
        <f t="shared" si="1"/>
        <v>1</v>
      </c>
    </row>
    <row r="11">
      <c r="A11" s="2">
        <v>10.0</v>
      </c>
      <c r="B11" s="2" t="s">
        <v>15</v>
      </c>
      <c r="C11" s="3">
        <v>41837.0</v>
      </c>
      <c r="D11" s="2">
        <f>14+158+215</f>
        <v>387</v>
      </c>
      <c r="E11" s="2">
        <v>928.0</v>
      </c>
      <c r="F11" s="5">
        <f t="shared" si="1"/>
        <v>1</v>
      </c>
    </row>
    <row r="12">
      <c r="A12" s="2">
        <v>11.0</v>
      </c>
      <c r="B12" s="2" t="s">
        <v>16</v>
      </c>
      <c r="C12" s="3">
        <v>41837.0</v>
      </c>
      <c r="D12" s="2">
        <v>0.0</v>
      </c>
      <c r="E12" s="2">
        <v>0.0</v>
      </c>
      <c r="F12" s="5">
        <f t="shared" si="1"/>
        <v>0</v>
      </c>
    </row>
    <row r="13">
      <c r="A13" s="2">
        <v>12.0</v>
      </c>
      <c r="B13" s="2" t="s">
        <v>17</v>
      </c>
      <c r="C13" s="3">
        <v>41837.0</v>
      </c>
      <c r="D13" s="2">
        <v>36.0</v>
      </c>
      <c r="E13" s="2">
        <v>180.0</v>
      </c>
      <c r="F13" s="5">
        <f t="shared" si="1"/>
        <v>1</v>
      </c>
    </row>
    <row r="14">
      <c r="A14" s="2">
        <v>13.0</v>
      </c>
      <c r="B14" s="2" t="s">
        <v>18</v>
      </c>
      <c r="C14" s="3">
        <v>41837.0</v>
      </c>
      <c r="D14" s="2">
        <v>40.0</v>
      </c>
      <c r="E14" s="2">
        <v>0.0</v>
      </c>
      <c r="F14" s="5">
        <f t="shared" si="1"/>
        <v>1</v>
      </c>
    </row>
    <row r="15">
      <c r="A15" s="2">
        <v>14.0</v>
      </c>
      <c r="B15" s="2" t="s">
        <v>19</v>
      </c>
      <c r="C15" s="3">
        <v>41837.0</v>
      </c>
      <c r="D15" s="2">
        <v>0.0</v>
      </c>
      <c r="E15" s="2">
        <v>0.0</v>
      </c>
      <c r="F15" s="5">
        <f t="shared" si="1"/>
        <v>0</v>
      </c>
    </row>
    <row r="16">
      <c r="A16" s="2">
        <v>15.0</v>
      </c>
      <c r="B16" s="2" t="s">
        <v>20</v>
      </c>
      <c r="C16" s="3">
        <v>41837.0</v>
      </c>
      <c r="D16" s="2">
        <v>121.0</v>
      </c>
      <c r="E16" s="2">
        <v>0.0</v>
      </c>
      <c r="F16" s="5">
        <f t="shared" si="1"/>
        <v>1</v>
      </c>
    </row>
    <row r="17">
      <c r="A17" s="2">
        <v>16.0</v>
      </c>
      <c r="B17" s="2" t="s">
        <v>21</v>
      </c>
      <c r="C17" s="3">
        <v>41837.0</v>
      </c>
      <c r="D17" s="2">
        <f>10+38</f>
        <v>48</v>
      </c>
      <c r="E17" s="2">
        <v>165.0</v>
      </c>
      <c r="F17" s="5">
        <f t="shared" si="1"/>
        <v>1</v>
      </c>
    </row>
    <row r="18">
      <c r="A18" s="2">
        <v>17.0</v>
      </c>
      <c r="B18" s="2" t="s">
        <v>22</v>
      </c>
      <c r="C18" s="3">
        <v>41837.0</v>
      </c>
      <c r="D18" s="2">
        <v>0.0</v>
      </c>
      <c r="E18" s="2">
        <v>0.0</v>
      </c>
      <c r="F18" s="5">
        <f t="shared" si="1"/>
        <v>0</v>
      </c>
    </row>
    <row r="19">
      <c r="A19" s="2">
        <v>18.0</v>
      </c>
      <c r="B19" s="2" t="s">
        <v>23</v>
      </c>
      <c r="C19" s="3">
        <v>41837.0</v>
      </c>
      <c r="D19" s="2">
        <f>200+93</f>
        <v>293</v>
      </c>
      <c r="E19" s="2">
        <v>468.0</v>
      </c>
      <c r="F19" s="5">
        <f t="shared" si="1"/>
        <v>1</v>
      </c>
    </row>
    <row r="20">
      <c r="A20" s="2">
        <v>19.0</v>
      </c>
      <c r="B20" s="2" t="s">
        <v>24</v>
      </c>
      <c r="C20" s="3">
        <v>41837.0</v>
      </c>
      <c r="D20" s="2">
        <v>70.0</v>
      </c>
      <c r="E20" s="2">
        <v>130.0</v>
      </c>
      <c r="F20" s="5">
        <f t="shared" si="1"/>
        <v>1</v>
      </c>
    </row>
    <row r="21">
      <c r="A21" s="2">
        <v>20.0</v>
      </c>
      <c r="B21" s="2" t="s">
        <v>25</v>
      </c>
      <c r="C21" s="3">
        <v>41837.0</v>
      </c>
      <c r="D21" s="2">
        <v>40.0</v>
      </c>
      <c r="E21" s="2">
        <v>0.0</v>
      </c>
      <c r="F21" s="5">
        <f t="shared" si="1"/>
        <v>1</v>
      </c>
    </row>
    <row r="22">
      <c r="A22" s="2">
        <v>21.0</v>
      </c>
      <c r="B22" s="2" t="s">
        <v>26</v>
      </c>
      <c r="C22" s="3">
        <v>41837.0</v>
      </c>
      <c r="D22" s="2">
        <f>405+81</f>
        <v>486</v>
      </c>
      <c r="E22" s="2">
        <v>0.0</v>
      </c>
      <c r="F22" s="5">
        <f t="shared" si="1"/>
        <v>1</v>
      </c>
    </row>
    <row r="23">
      <c r="A23" s="2">
        <v>22.0</v>
      </c>
      <c r="B23" s="2" t="s">
        <v>27</v>
      </c>
      <c r="C23" s="3">
        <v>41837.0</v>
      </c>
      <c r="D23" s="2">
        <v>80.0</v>
      </c>
      <c r="E23" s="2">
        <v>200.0</v>
      </c>
      <c r="F23" s="5">
        <f t="shared" si="1"/>
        <v>1</v>
      </c>
    </row>
    <row r="24">
      <c r="A24" s="2">
        <v>23.0</v>
      </c>
      <c r="B24" s="2" t="s">
        <v>28</v>
      </c>
      <c r="C24" s="3">
        <v>41837.0</v>
      </c>
      <c r="D24" s="2">
        <v>120.0</v>
      </c>
      <c r="E24" s="2">
        <v>250.0</v>
      </c>
      <c r="F24" s="5">
        <f t="shared" si="1"/>
        <v>1</v>
      </c>
    </row>
    <row r="25">
      <c r="A25" s="2">
        <v>24.0</v>
      </c>
      <c r="B25" s="2" t="s">
        <v>29</v>
      </c>
      <c r="C25" s="3">
        <v>41837.0</v>
      </c>
      <c r="D25" s="2">
        <v>50.0</v>
      </c>
      <c r="E25" s="2">
        <v>240.0</v>
      </c>
      <c r="F25" s="5">
        <f t="shared" si="1"/>
        <v>1</v>
      </c>
    </row>
    <row r="26">
      <c r="A26" s="2">
        <v>25.0</v>
      </c>
      <c r="B26" s="2" t="s">
        <v>30</v>
      </c>
      <c r="C26" s="3">
        <v>41837.0</v>
      </c>
      <c r="D26" s="2">
        <v>0.0</v>
      </c>
      <c r="E26" s="2">
        <v>0.0</v>
      </c>
      <c r="F26" s="5">
        <f t="shared" si="1"/>
        <v>0</v>
      </c>
    </row>
    <row r="27">
      <c r="A27" s="2">
        <v>26.0</v>
      </c>
      <c r="B27" s="2" t="s">
        <v>31</v>
      </c>
      <c r="C27" s="3">
        <v>41837.0</v>
      </c>
      <c r="D27" s="2">
        <v>154.0</v>
      </c>
      <c r="E27" s="4">
        <v>724.0</v>
      </c>
      <c r="F27" s="5">
        <f t="shared" si="1"/>
        <v>1</v>
      </c>
    </row>
    <row r="28">
      <c r="A28" s="2">
        <v>27.0</v>
      </c>
      <c r="B28" s="2" t="s">
        <v>32</v>
      </c>
      <c r="C28" s="3">
        <v>41837.0</v>
      </c>
      <c r="D28" s="2">
        <v>0.0</v>
      </c>
      <c r="E28" s="2">
        <v>0.0</v>
      </c>
      <c r="F28" s="5">
        <f t="shared" si="1"/>
        <v>0</v>
      </c>
    </row>
    <row r="29">
      <c r="A29" s="2">
        <v>28.0</v>
      </c>
      <c r="B29" s="2" t="s">
        <v>33</v>
      </c>
      <c r="C29" s="3">
        <v>41837.0</v>
      </c>
      <c r="D29" s="2">
        <v>0.0</v>
      </c>
      <c r="E29" s="2">
        <v>0.0</v>
      </c>
      <c r="F29" s="5">
        <f t="shared" si="1"/>
        <v>0</v>
      </c>
    </row>
    <row r="30">
      <c r="A30" s="2">
        <v>29.0</v>
      </c>
      <c r="B30" s="2" t="s">
        <v>34</v>
      </c>
      <c r="C30" s="3">
        <v>41837.0</v>
      </c>
      <c r="D30" s="2">
        <f>46+91</f>
        <v>137</v>
      </c>
      <c r="E30" s="2">
        <f>210+348</f>
        <v>558</v>
      </c>
      <c r="F30" s="5">
        <f t="shared" si="1"/>
        <v>1</v>
      </c>
    </row>
    <row r="31">
      <c r="A31" s="2">
        <v>30.0</v>
      </c>
      <c r="B31" s="2" t="s">
        <v>35</v>
      </c>
      <c r="C31" s="3">
        <v>41837.0</v>
      </c>
      <c r="D31" s="2">
        <v>0.0</v>
      </c>
      <c r="E31" s="2">
        <v>15.0</v>
      </c>
      <c r="F31" s="5">
        <f t="shared" si="1"/>
        <v>1</v>
      </c>
    </row>
    <row r="32">
      <c r="A32" s="2">
        <v>31.0</v>
      </c>
      <c r="B32" s="2" t="s">
        <v>36</v>
      </c>
      <c r="C32" s="3">
        <v>41837.0</v>
      </c>
      <c r="D32" s="2">
        <v>0.0</v>
      </c>
      <c r="E32" s="2">
        <v>0.0</v>
      </c>
      <c r="F32" s="5">
        <f t="shared" si="1"/>
        <v>0</v>
      </c>
    </row>
    <row r="33">
      <c r="A33" s="2">
        <v>32.0</v>
      </c>
      <c r="B33" s="2" t="s">
        <v>37</v>
      </c>
      <c r="C33" s="3">
        <v>41837.0</v>
      </c>
      <c r="D33" s="2">
        <v>133.0</v>
      </c>
      <c r="E33" s="2">
        <v>0.0</v>
      </c>
      <c r="F33" s="5">
        <f t="shared" si="1"/>
        <v>1</v>
      </c>
    </row>
    <row r="34">
      <c r="A34" s="2">
        <v>33.0</v>
      </c>
      <c r="B34" s="2" t="s">
        <v>38</v>
      </c>
      <c r="C34" s="3">
        <v>41837.0</v>
      </c>
      <c r="D34" s="2">
        <v>50.0</v>
      </c>
      <c r="E34" s="2">
        <v>250.0</v>
      </c>
      <c r="F34" s="5">
        <f t="shared" si="1"/>
        <v>1</v>
      </c>
    </row>
    <row r="35">
      <c r="A35" s="2">
        <v>34.0</v>
      </c>
      <c r="B35" s="2" t="s">
        <v>39</v>
      </c>
      <c r="C35" s="3">
        <v>41837.0</v>
      </c>
      <c r="D35" s="2">
        <f>32+641+4</f>
        <v>677</v>
      </c>
      <c r="E35" s="2">
        <v>0.0</v>
      </c>
      <c r="F35" s="5">
        <f t="shared" si="1"/>
        <v>1</v>
      </c>
    </row>
    <row r="36">
      <c r="A36" s="2">
        <v>35.0</v>
      </c>
      <c r="B36" s="2" t="s">
        <v>40</v>
      </c>
      <c r="C36" s="3">
        <v>41837.0</v>
      </c>
      <c r="D36" s="2">
        <v>85.0</v>
      </c>
      <c r="E36" s="2">
        <v>498.0</v>
      </c>
      <c r="F36" s="5">
        <f t="shared" si="1"/>
        <v>1</v>
      </c>
    </row>
    <row r="37">
      <c r="A37" s="2">
        <v>36.0</v>
      </c>
      <c r="B37" s="2" t="s">
        <v>41</v>
      </c>
      <c r="C37" s="3">
        <v>41837.0</v>
      </c>
      <c r="D37" s="2">
        <v>0.0</v>
      </c>
      <c r="E37" s="2">
        <v>0.0</v>
      </c>
      <c r="F37" s="5">
        <f t="shared" si="1"/>
        <v>0</v>
      </c>
    </row>
    <row r="38">
      <c r="A38" s="2">
        <v>37.0</v>
      </c>
      <c r="B38" s="2" t="s">
        <v>42</v>
      </c>
      <c r="C38" s="3">
        <v>41837.0</v>
      </c>
      <c r="D38" s="2">
        <v>79.0</v>
      </c>
      <c r="E38" s="2">
        <v>357.0</v>
      </c>
      <c r="F38" s="5">
        <f t="shared" si="1"/>
        <v>1</v>
      </c>
    </row>
    <row r="39">
      <c r="A39" s="2">
        <v>38.0</v>
      </c>
      <c r="B39" s="2" t="s">
        <v>43</v>
      </c>
      <c r="C39" s="3">
        <v>41837.0</v>
      </c>
      <c r="D39" s="2">
        <v>79.0</v>
      </c>
      <c r="E39" s="2">
        <v>0.0</v>
      </c>
      <c r="F39" s="5">
        <f t="shared" si="1"/>
        <v>1</v>
      </c>
    </row>
    <row r="40">
      <c r="A40" s="2">
        <v>39.0</v>
      </c>
      <c r="B40" s="2" t="s">
        <v>44</v>
      </c>
      <c r="C40" s="3">
        <v>41837.0</v>
      </c>
      <c r="D40" s="2">
        <v>10.0</v>
      </c>
      <c r="E40" s="2">
        <v>50.0</v>
      </c>
      <c r="F40" s="5">
        <f t="shared" si="1"/>
        <v>1</v>
      </c>
    </row>
    <row r="41">
      <c r="A41" s="2">
        <v>40.0</v>
      </c>
      <c r="B41" s="2" t="s">
        <v>45</v>
      </c>
      <c r="C41" s="3">
        <v>41837.0</v>
      </c>
      <c r="D41" s="2">
        <v>103.0</v>
      </c>
      <c r="E41" s="2">
        <v>429.0</v>
      </c>
      <c r="F41" s="5">
        <f t="shared" si="1"/>
        <v>1</v>
      </c>
    </row>
    <row r="42">
      <c r="A42" s="2">
        <v>41.0</v>
      </c>
      <c r="B42" s="2" t="s">
        <v>46</v>
      </c>
      <c r="C42" s="3">
        <v>41837.0</v>
      </c>
      <c r="D42" s="2">
        <v>0.0</v>
      </c>
      <c r="E42" s="2">
        <v>0.0</v>
      </c>
      <c r="F42" s="5">
        <f t="shared" si="1"/>
        <v>0</v>
      </c>
    </row>
    <row r="43">
      <c r="A43" s="2">
        <v>42.0</v>
      </c>
      <c r="B43" s="2" t="s">
        <v>47</v>
      </c>
      <c r="C43" s="3">
        <v>41837.0</v>
      </c>
      <c r="D43" s="2">
        <v>50.0</v>
      </c>
      <c r="E43" s="2">
        <v>250.0</v>
      </c>
      <c r="F43" s="5">
        <f t="shared" si="1"/>
        <v>1</v>
      </c>
    </row>
    <row r="44">
      <c r="A44" s="2">
        <v>43.0</v>
      </c>
      <c r="B44" s="2" t="s">
        <v>48</v>
      </c>
      <c r="C44" s="3">
        <v>41837.0</v>
      </c>
      <c r="D44" s="2">
        <v>135.0</v>
      </c>
      <c r="E44" s="2">
        <v>533.0</v>
      </c>
      <c r="F44" s="5">
        <f t="shared" si="1"/>
        <v>1</v>
      </c>
    </row>
    <row r="45">
      <c r="A45" s="2">
        <v>44.0</v>
      </c>
      <c r="B45" s="2" t="s">
        <v>49</v>
      </c>
      <c r="C45" s="3">
        <v>41837.0</v>
      </c>
      <c r="D45" s="2">
        <v>54.0</v>
      </c>
      <c r="E45" s="2">
        <v>270.0</v>
      </c>
      <c r="F45" s="5">
        <f t="shared" si="1"/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42099.0</v>
      </c>
      <c r="D2" s="2">
        <f>42+121</f>
        <v>163</v>
      </c>
      <c r="E2" s="2">
        <v>0.0</v>
      </c>
      <c r="F2" s="2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42099.0</v>
      </c>
      <c r="D3" s="2">
        <v>176.0</v>
      </c>
      <c r="E3" s="2">
        <v>0.0</v>
      </c>
      <c r="F3" s="2">
        <f t="shared" si="1"/>
        <v>1</v>
      </c>
    </row>
    <row r="4">
      <c r="A4" s="2">
        <v>3.0</v>
      </c>
      <c r="B4" s="2" t="s">
        <v>8</v>
      </c>
      <c r="C4" s="3">
        <v>42099.0</v>
      </c>
      <c r="D4" s="2">
        <f>39+71</f>
        <v>110</v>
      </c>
      <c r="E4" s="2">
        <f>30+71</f>
        <v>101</v>
      </c>
      <c r="F4" s="2">
        <f t="shared" si="1"/>
        <v>1</v>
      </c>
    </row>
    <row r="5">
      <c r="A5" s="2">
        <v>4.0</v>
      </c>
      <c r="B5" s="2" t="s">
        <v>9</v>
      </c>
      <c r="C5" s="3">
        <v>42099.0</v>
      </c>
      <c r="D5" s="2">
        <v>34.0</v>
      </c>
      <c r="E5" s="2">
        <v>0.0</v>
      </c>
      <c r="F5" s="2">
        <f t="shared" si="1"/>
        <v>1</v>
      </c>
    </row>
    <row r="6">
      <c r="A6" s="2">
        <v>5.0</v>
      </c>
      <c r="B6" s="2" t="s">
        <v>10</v>
      </c>
      <c r="C6" s="3">
        <v>42099.0</v>
      </c>
      <c r="D6" s="2">
        <v>80.0</v>
      </c>
      <c r="E6" s="2">
        <v>0.0</v>
      </c>
      <c r="F6" s="2">
        <f t="shared" si="1"/>
        <v>1</v>
      </c>
    </row>
    <row r="7">
      <c r="A7" s="2">
        <v>6.0</v>
      </c>
      <c r="B7" s="2" t="s">
        <v>11</v>
      </c>
      <c r="C7" s="3">
        <v>42099.0</v>
      </c>
      <c r="D7" s="2">
        <v>102.0</v>
      </c>
      <c r="E7" s="2">
        <v>0.0</v>
      </c>
      <c r="F7" s="2">
        <f t="shared" si="1"/>
        <v>1</v>
      </c>
    </row>
    <row r="8">
      <c r="A8" s="2">
        <v>7.0</v>
      </c>
      <c r="B8" s="2" t="s">
        <v>12</v>
      </c>
      <c r="C8" s="3">
        <v>42099.0</v>
      </c>
      <c r="D8" s="2">
        <v>127.0</v>
      </c>
      <c r="E8" s="2">
        <v>0.0</v>
      </c>
      <c r="F8" s="2">
        <f t="shared" si="1"/>
        <v>1</v>
      </c>
    </row>
    <row r="9">
      <c r="A9" s="2">
        <v>8.0</v>
      </c>
      <c r="B9" s="2" t="s">
        <v>13</v>
      </c>
      <c r="C9" s="3">
        <v>42099.0</v>
      </c>
      <c r="D9" s="2">
        <f>42+71</f>
        <v>113</v>
      </c>
      <c r="E9" s="2">
        <f>44+74</f>
        <v>118</v>
      </c>
      <c r="F9" s="2">
        <f t="shared" si="1"/>
        <v>1</v>
      </c>
    </row>
    <row r="10">
      <c r="A10" s="2">
        <v>9.0</v>
      </c>
      <c r="B10" s="2" t="s">
        <v>14</v>
      </c>
      <c r="C10" s="3">
        <v>42099.0</v>
      </c>
      <c r="D10" s="2">
        <v>95.0</v>
      </c>
      <c r="E10" s="2">
        <v>0.0</v>
      </c>
      <c r="F10" s="2">
        <f t="shared" si="1"/>
        <v>1</v>
      </c>
    </row>
    <row r="11">
      <c r="A11" s="2">
        <v>10.0</v>
      </c>
      <c r="B11" s="2" t="s">
        <v>15</v>
      </c>
      <c r="C11" s="3">
        <v>42099.0</v>
      </c>
      <c r="D11" s="2">
        <v>110.0</v>
      </c>
      <c r="E11" s="2">
        <v>0.0</v>
      </c>
      <c r="F11" s="2">
        <f t="shared" si="1"/>
        <v>1</v>
      </c>
    </row>
    <row r="12">
      <c r="A12" s="2">
        <v>11.0</v>
      </c>
      <c r="B12" s="2" t="s">
        <v>16</v>
      </c>
      <c r="C12" s="3">
        <v>42099.0</v>
      </c>
      <c r="D12" s="2">
        <v>78.0</v>
      </c>
      <c r="E12" s="2">
        <v>0.0</v>
      </c>
      <c r="F12" s="2">
        <f t="shared" si="1"/>
        <v>1</v>
      </c>
    </row>
    <row r="13">
      <c r="A13" s="2">
        <v>12.0</v>
      </c>
      <c r="B13" s="2" t="s">
        <v>17</v>
      </c>
      <c r="C13" s="3">
        <v>42099.0</v>
      </c>
      <c r="D13" s="2">
        <v>33.0</v>
      </c>
      <c r="E13" s="2">
        <f>63+62</f>
        <v>125</v>
      </c>
      <c r="F13" s="2">
        <f t="shared" si="1"/>
        <v>1</v>
      </c>
    </row>
    <row r="14">
      <c r="A14" s="2">
        <v>13.0</v>
      </c>
      <c r="B14" s="2" t="s">
        <v>18</v>
      </c>
      <c r="C14" s="3">
        <v>42099.0</v>
      </c>
      <c r="D14" s="2">
        <v>20.0</v>
      </c>
      <c r="E14" s="2">
        <v>0.0</v>
      </c>
      <c r="F14" s="2">
        <f t="shared" si="1"/>
        <v>1</v>
      </c>
    </row>
    <row r="15">
      <c r="A15" s="2">
        <v>14.0</v>
      </c>
      <c r="B15" s="2" t="s">
        <v>19</v>
      </c>
      <c r="C15" s="3">
        <v>42099.0</v>
      </c>
      <c r="D15" s="2">
        <v>136.0</v>
      </c>
      <c r="E15" s="2">
        <v>0.0</v>
      </c>
      <c r="F15" s="2">
        <f t="shared" si="1"/>
        <v>1</v>
      </c>
    </row>
    <row r="16">
      <c r="A16" s="2">
        <v>15.0</v>
      </c>
      <c r="B16" s="2" t="s">
        <v>20</v>
      </c>
      <c r="C16" s="3">
        <v>42099.0</v>
      </c>
      <c r="D16" s="2">
        <v>43.0</v>
      </c>
      <c r="E16" s="2">
        <f>76+73</f>
        <v>149</v>
      </c>
      <c r="F16" s="2">
        <f t="shared" si="1"/>
        <v>1</v>
      </c>
    </row>
    <row r="17">
      <c r="A17" s="2">
        <v>16.0</v>
      </c>
      <c r="B17" s="2" t="s">
        <v>21</v>
      </c>
      <c r="C17" s="3">
        <v>42099.0</v>
      </c>
      <c r="D17" s="2">
        <f>71+39</f>
        <v>110</v>
      </c>
      <c r="E17" s="2">
        <v>0.0</v>
      </c>
      <c r="F17" s="2">
        <f t="shared" si="1"/>
        <v>1</v>
      </c>
    </row>
    <row r="18">
      <c r="A18" s="2">
        <v>17.0</v>
      </c>
      <c r="B18" s="2" t="s">
        <v>22</v>
      </c>
      <c r="C18" s="3">
        <v>42099.0</v>
      </c>
      <c r="D18" s="2">
        <v>49.0</v>
      </c>
      <c r="E18" s="2">
        <v>0.0</v>
      </c>
      <c r="F18" s="2">
        <f t="shared" si="1"/>
        <v>1</v>
      </c>
    </row>
    <row r="19">
      <c r="A19" s="2">
        <v>18.0</v>
      </c>
      <c r="B19" s="2" t="s">
        <v>23</v>
      </c>
      <c r="C19" s="3">
        <v>42099.0</v>
      </c>
      <c r="D19" s="2">
        <v>91.0</v>
      </c>
      <c r="E19" s="2">
        <v>0.0</v>
      </c>
      <c r="F19" s="2">
        <f t="shared" si="1"/>
        <v>1</v>
      </c>
    </row>
    <row r="20">
      <c r="A20" s="2">
        <v>19.0</v>
      </c>
      <c r="B20" s="2" t="s">
        <v>24</v>
      </c>
      <c r="C20" s="3">
        <v>42099.0</v>
      </c>
      <c r="D20" s="2">
        <v>110.0</v>
      </c>
      <c r="E20" s="2">
        <v>0.0</v>
      </c>
      <c r="F20" s="2">
        <f t="shared" si="1"/>
        <v>1</v>
      </c>
    </row>
    <row r="21">
      <c r="A21" s="2">
        <v>20.0</v>
      </c>
      <c r="B21" s="2" t="s">
        <v>25</v>
      </c>
      <c r="C21" s="3">
        <v>42099.0</v>
      </c>
      <c r="D21" s="2">
        <v>94.0</v>
      </c>
      <c r="E21" s="2">
        <v>0.0</v>
      </c>
      <c r="F21" s="2">
        <f t="shared" si="1"/>
        <v>1</v>
      </c>
    </row>
    <row r="22">
      <c r="A22" s="2">
        <v>21.0</v>
      </c>
      <c r="B22" s="2" t="s">
        <v>26</v>
      </c>
      <c r="C22" s="3">
        <v>42099.0</v>
      </c>
      <c r="D22" s="2">
        <v>197.0</v>
      </c>
      <c r="E22" s="2">
        <v>0.0</v>
      </c>
      <c r="F22" s="2">
        <f t="shared" si="1"/>
        <v>1</v>
      </c>
    </row>
    <row r="23">
      <c r="A23" s="2">
        <v>22.0</v>
      </c>
      <c r="B23" s="2" t="s">
        <v>27</v>
      </c>
      <c r="C23" s="3">
        <v>42099.0</v>
      </c>
      <c r="D23" s="2">
        <v>52.0</v>
      </c>
      <c r="E23" s="2">
        <v>0.0</v>
      </c>
      <c r="F23" s="2">
        <f t="shared" si="1"/>
        <v>1</v>
      </c>
    </row>
    <row r="24">
      <c r="A24" s="2">
        <v>23.0</v>
      </c>
      <c r="B24" s="2" t="s">
        <v>28</v>
      </c>
      <c r="C24" s="3">
        <v>42099.0</v>
      </c>
      <c r="D24" s="2">
        <v>63.0</v>
      </c>
      <c r="E24" s="2">
        <v>0.0</v>
      </c>
      <c r="F24" s="2">
        <f t="shared" si="1"/>
        <v>1</v>
      </c>
    </row>
    <row r="25">
      <c r="A25" s="2">
        <v>24.0</v>
      </c>
      <c r="B25" s="2" t="s">
        <v>29</v>
      </c>
      <c r="C25" s="3">
        <v>42099.0</v>
      </c>
      <c r="D25" s="2">
        <v>69.0</v>
      </c>
      <c r="E25" s="2">
        <v>0.0</v>
      </c>
      <c r="F25" s="2">
        <f t="shared" si="1"/>
        <v>1</v>
      </c>
    </row>
    <row r="26">
      <c r="A26" s="2">
        <v>25.0</v>
      </c>
      <c r="B26" s="2" t="s">
        <v>30</v>
      </c>
      <c r="C26" s="3">
        <v>42099.0</v>
      </c>
      <c r="D26" s="2">
        <f>160+32</f>
        <v>192</v>
      </c>
      <c r="E26" s="2">
        <v>0.0</v>
      </c>
      <c r="F26" s="2">
        <f t="shared" si="1"/>
        <v>1</v>
      </c>
    </row>
    <row r="27">
      <c r="A27" s="2">
        <v>26.0</v>
      </c>
      <c r="B27" s="2" t="s">
        <v>31</v>
      </c>
      <c r="C27" s="3">
        <v>42099.0</v>
      </c>
      <c r="D27" s="2">
        <v>51.0</v>
      </c>
      <c r="E27" s="2">
        <v>0.0</v>
      </c>
      <c r="F27" s="2">
        <f t="shared" si="1"/>
        <v>1</v>
      </c>
    </row>
    <row r="28">
      <c r="A28" s="2">
        <v>27.0</v>
      </c>
      <c r="B28" s="2" t="s">
        <v>32</v>
      </c>
      <c r="C28" s="3">
        <v>42099.0</v>
      </c>
      <c r="D28" s="2">
        <v>85.0</v>
      </c>
      <c r="E28" s="2">
        <v>0.0</v>
      </c>
      <c r="F28" s="2">
        <f t="shared" si="1"/>
        <v>1</v>
      </c>
    </row>
    <row r="29">
      <c r="A29" s="2">
        <v>28.0</v>
      </c>
      <c r="B29" s="2" t="s">
        <v>33</v>
      </c>
      <c r="C29" s="3">
        <v>42099.0</v>
      </c>
      <c r="D29" s="2">
        <v>137.0</v>
      </c>
      <c r="E29" s="2">
        <v>0.0</v>
      </c>
      <c r="F29" s="2">
        <f t="shared" si="1"/>
        <v>1</v>
      </c>
    </row>
    <row r="30">
      <c r="A30" s="2">
        <v>29.0</v>
      </c>
      <c r="B30" s="2" t="s">
        <v>34</v>
      </c>
      <c r="C30" s="3">
        <v>42099.0</v>
      </c>
      <c r="D30" s="2">
        <f>25+53</f>
        <v>78</v>
      </c>
      <c r="E30" s="2">
        <v>0.0</v>
      </c>
      <c r="F30" s="2">
        <f t="shared" si="1"/>
        <v>1</v>
      </c>
    </row>
    <row r="31">
      <c r="A31" s="2">
        <v>30.0</v>
      </c>
      <c r="B31" s="2" t="s">
        <v>35</v>
      </c>
      <c r="C31" s="3">
        <v>42099.0</v>
      </c>
      <c r="D31" s="2">
        <v>192.0</v>
      </c>
      <c r="E31" s="2">
        <v>0.0</v>
      </c>
      <c r="F31" s="2">
        <f t="shared" si="1"/>
        <v>1</v>
      </c>
    </row>
    <row r="32">
      <c r="A32" s="2">
        <v>31.0</v>
      </c>
      <c r="B32" s="2" t="s">
        <v>36</v>
      </c>
      <c r="C32" s="3">
        <v>42099.0</v>
      </c>
      <c r="D32" s="2">
        <v>102.0</v>
      </c>
      <c r="E32" s="2">
        <v>0.0</v>
      </c>
      <c r="F32" s="2">
        <f t="shared" si="1"/>
        <v>1</v>
      </c>
    </row>
    <row r="33">
      <c r="A33" s="2">
        <v>32.0</v>
      </c>
      <c r="B33" s="2" t="s">
        <v>37</v>
      </c>
      <c r="C33" s="3">
        <v>42099.0</v>
      </c>
      <c r="D33" s="2">
        <f>10+54</f>
        <v>64</v>
      </c>
      <c r="E33" s="2">
        <f>10+14</f>
        <v>24</v>
      </c>
      <c r="F33" s="2">
        <f t="shared" si="1"/>
        <v>1</v>
      </c>
    </row>
    <row r="34">
      <c r="A34" s="2">
        <v>33.0</v>
      </c>
      <c r="B34" s="2" t="s">
        <v>38</v>
      </c>
      <c r="C34" s="3">
        <v>42099.0</v>
      </c>
      <c r="D34" s="2">
        <v>84.0</v>
      </c>
      <c r="E34" s="2">
        <v>0.0</v>
      </c>
      <c r="F34" s="2">
        <f t="shared" si="1"/>
        <v>1</v>
      </c>
    </row>
    <row r="35">
      <c r="A35" s="2">
        <v>34.0</v>
      </c>
      <c r="B35" s="2" t="s">
        <v>39</v>
      </c>
      <c r="C35" s="3">
        <v>42099.0</v>
      </c>
      <c r="D35" s="2">
        <v>166.0</v>
      </c>
      <c r="E35" s="2">
        <v>0.0</v>
      </c>
      <c r="F35" s="2">
        <f t="shared" si="1"/>
        <v>1</v>
      </c>
    </row>
    <row r="36">
      <c r="A36" s="2">
        <v>35.0</v>
      </c>
      <c r="B36" s="2" t="s">
        <v>40</v>
      </c>
      <c r="C36" s="3">
        <v>42099.0</v>
      </c>
      <c r="D36" s="2">
        <v>70.0</v>
      </c>
      <c r="E36" s="2">
        <v>0.0</v>
      </c>
      <c r="F36" s="2">
        <f t="shared" si="1"/>
        <v>1</v>
      </c>
    </row>
    <row r="37">
      <c r="A37" s="2">
        <v>36.0</v>
      </c>
      <c r="B37" s="2" t="s">
        <v>41</v>
      </c>
      <c r="C37" s="3">
        <v>42099.0</v>
      </c>
      <c r="D37" s="2">
        <f>12+68</f>
        <v>80</v>
      </c>
      <c r="E37" s="2">
        <f>17+14</f>
        <v>31</v>
      </c>
      <c r="F37" s="2">
        <f t="shared" si="1"/>
        <v>1</v>
      </c>
    </row>
    <row r="38">
      <c r="A38" s="2">
        <v>37.0</v>
      </c>
      <c r="B38" s="2" t="s">
        <v>42</v>
      </c>
      <c r="C38" s="3">
        <v>42099.0</v>
      </c>
      <c r="D38" s="2">
        <v>193.0</v>
      </c>
      <c r="E38" s="2">
        <v>0.0</v>
      </c>
      <c r="F38" s="2">
        <f t="shared" si="1"/>
        <v>1</v>
      </c>
    </row>
    <row r="39">
      <c r="A39" s="2">
        <v>38.0</v>
      </c>
      <c r="B39" s="2" t="s">
        <v>43</v>
      </c>
      <c r="C39" s="3">
        <v>42099.0</v>
      </c>
      <c r="D39" s="2">
        <v>90.0</v>
      </c>
      <c r="E39" s="2">
        <v>0.0</v>
      </c>
      <c r="F39" s="2">
        <f t="shared" si="1"/>
        <v>1</v>
      </c>
    </row>
    <row r="40">
      <c r="A40" s="2">
        <v>39.0</v>
      </c>
      <c r="B40" s="2" t="s">
        <v>44</v>
      </c>
      <c r="C40" s="3">
        <v>42099.0</v>
      </c>
      <c r="D40" s="2">
        <v>108.0</v>
      </c>
      <c r="E40" s="2">
        <v>0.0</v>
      </c>
      <c r="F40" s="2">
        <f t="shared" si="1"/>
        <v>1</v>
      </c>
    </row>
    <row r="41">
      <c r="A41" s="2">
        <v>40.0</v>
      </c>
      <c r="B41" s="2" t="s">
        <v>45</v>
      </c>
      <c r="C41" s="3">
        <v>42099.0</v>
      </c>
      <c r="D41" s="2">
        <v>169.0</v>
      </c>
      <c r="E41" s="2">
        <f>466+429</f>
        <v>895</v>
      </c>
      <c r="F41" s="2">
        <f t="shared" si="1"/>
        <v>1</v>
      </c>
    </row>
    <row r="42">
      <c r="A42" s="2">
        <v>41.0</v>
      </c>
      <c r="B42" s="2" t="s">
        <v>46</v>
      </c>
      <c r="C42" s="3">
        <v>42099.0</v>
      </c>
      <c r="D42" s="2">
        <v>30.0</v>
      </c>
      <c r="E42" s="2">
        <f>69+64</f>
        <v>133</v>
      </c>
      <c r="F42" s="2">
        <f t="shared" si="1"/>
        <v>1</v>
      </c>
    </row>
    <row r="43">
      <c r="A43" s="2">
        <v>42.0</v>
      </c>
      <c r="B43" s="2" t="s">
        <v>47</v>
      </c>
      <c r="C43" s="3">
        <v>42099.0</v>
      </c>
      <c r="D43" s="2">
        <v>67.0</v>
      </c>
      <c r="E43" s="2">
        <v>0.0</v>
      </c>
      <c r="F43" s="2">
        <f t="shared" si="1"/>
        <v>1</v>
      </c>
    </row>
    <row r="44">
      <c r="A44" s="2">
        <v>43.0</v>
      </c>
      <c r="B44" s="2" t="s">
        <v>48</v>
      </c>
      <c r="C44" s="3">
        <v>42099.0</v>
      </c>
      <c r="D44" s="2">
        <f>106+90</f>
        <v>196</v>
      </c>
      <c r="E44" s="2">
        <v>0.0</v>
      </c>
      <c r="F44" s="2">
        <f t="shared" si="1"/>
        <v>1</v>
      </c>
    </row>
    <row r="45">
      <c r="A45" s="2">
        <v>44.0</v>
      </c>
      <c r="B45" s="2" t="s">
        <v>49</v>
      </c>
      <c r="C45" s="3">
        <v>42099.0</v>
      </c>
      <c r="D45" s="2">
        <f>45+46</f>
        <v>91</v>
      </c>
      <c r="E45" s="2">
        <f>69+99+80+96</f>
        <v>344</v>
      </c>
      <c r="F45" s="2">
        <f t="shared" si="1"/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44129.0</v>
      </c>
      <c r="D2" s="2">
        <v>49.0</v>
      </c>
      <c r="E2" s="2">
        <v>0.0</v>
      </c>
      <c r="F2" s="2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44129.0</v>
      </c>
      <c r="D3" s="2">
        <v>0.0</v>
      </c>
      <c r="E3" s="2">
        <v>0.0</v>
      </c>
      <c r="F3" s="2">
        <f t="shared" si="1"/>
        <v>0</v>
      </c>
    </row>
    <row r="4">
      <c r="A4" s="2">
        <v>3.0</v>
      </c>
      <c r="B4" s="2" t="s">
        <v>8</v>
      </c>
      <c r="C4" s="3">
        <v>44129.0</v>
      </c>
      <c r="D4" s="2">
        <v>47.0</v>
      </c>
      <c r="E4" s="2">
        <v>0.0</v>
      </c>
      <c r="F4" s="2">
        <f t="shared" si="1"/>
        <v>1</v>
      </c>
    </row>
    <row r="5">
      <c r="A5" s="2">
        <v>4.0</v>
      </c>
      <c r="B5" s="2" t="s">
        <v>9</v>
      </c>
      <c r="C5" s="3">
        <v>44129.0</v>
      </c>
      <c r="D5" s="2">
        <v>0.0</v>
      </c>
      <c r="E5" s="2">
        <v>0.0</v>
      </c>
      <c r="F5" s="2">
        <f t="shared" si="1"/>
        <v>0</v>
      </c>
    </row>
    <row r="6">
      <c r="A6" s="2">
        <v>5.0</v>
      </c>
      <c r="B6" s="2" t="s">
        <v>10</v>
      </c>
      <c r="C6" s="3">
        <v>44129.0</v>
      </c>
      <c r="D6" s="2">
        <v>0.0</v>
      </c>
      <c r="E6" s="2">
        <v>0.0</v>
      </c>
      <c r="F6" s="2">
        <f t="shared" si="1"/>
        <v>0</v>
      </c>
    </row>
    <row r="7">
      <c r="A7" s="2">
        <v>6.0</v>
      </c>
      <c r="B7" s="2" t="s">
        <v>11</v>
      </c>
      <c r="C7" s="3">
        <v>44129.0</v>
      </c>
      <c r="D7" s="2">
        <v>22.0</v>
      </c>
      <c r="E7" s="2">
        <v>0.0</v>
      </c>
      <c r="F7" s="2">
        <f t="shared" si="1"/>
        <v>1</v>
      </c>
    </row>
    <row r="8">
      <c r="A8" s="2">
        <v>7.0</v>
      </c>
      <c r="B8" s="2" t="s">
        <v>12</v>
      </c>
      <c r="C8" s="3">
        <v>44129.0</v>
      </c>
      <c r="D8" s="2">
        <v>0.0</v>
      </c>
      <c r="E8" s="2">
        <v>0.0</v>
      </c>
      <c r="F8" s="2">
        <f t="shared" si="1"/>
        <v>0</v>
      </c>
    </row>
    <row r="9">
      <c r="A9" s="2">
        <v>8.0</v>
      </c>
      <c r="B9" s="2" t="s">
        <v>13</v>
      </c>
      <c r="C9" s="3">
        <v>44129.0</v>
      </c>
      <c r="D9" s="2">
        <v>46.0</v>
      </c>
      <c r="E9" s="2">
        <v>0.0</v>
      </c>
      <c r="F9" s="2">
        <f t="shared" si="1"/>
        <v>1</v>
      </c>
    </row>
    <row r="10">
      <c r="A10" s="2">
        <v>9.0</v>
      </c>
      <c r="B10" s="2" t="s">
        <v>14</v>
      </c>
      <c r="C10" s="3">
        <v>44129.0</v>
      </c>
      <c r="D10" s="2">
        <v>0.0</v>
      </c>
      <c r="E10" s="2">
        <v>0.0</v>
      </c>
      <c r="F10" s="2">
        <f t="shared" si="1"/>
        <v>0</v>
      </c>
    </row>
    <row r="11">
      <c r="A11" s="2">
        <v>10.0</v>
      </c>
      <c r="B11" s="2" t="s">
        <v>15</v>
      </c>
      <c r="C11" s="3">
        <v>44129.0</v>
      </c>
      <c r="D11" s="2">
        <v>52.0</v>
      </c>
      <c r="E11" s="2">
        <v>0.0</v>
      </c>
      <c r="F11" s="2">
        <f t="shared" si="1"/>
        <v>1</v>
      </c>
    </row>
    <row r="12">
      <c r="A12" s="2">
        <v>11.0</v>
      </c>
      <c r="B12" s="2" t="s">
        <v>16</v>
      </c>
      <c r="C12" s="3">
        <v>44129.0</v>
      </c>
      <c r="D12" s="2">
        <v>0.0</v>
      </c>
      <c r="E12" s="2">
        <v>0.0</v>
      </c>
      <c r="F12" s="2">
        <f t="shared" si="1"/>
        <v>0</v>
      </c>
    </row>
    <row r="13">
      <c r="A13" s="2">
        <v>12.0</v>
      </c>
      <c r="B13" s="2" t="s">
        <v>17</v>
      </c>
      <c r="C13" s="3">
        <v>44129.0</v>
      </c>
      <c r="D13" s="2">
        <v>30.0</v>
      </c>
      <c r="E13" s="2">
        <v>0.0</v>
      </c>
      <c r="F13" s="2">
        <f t="shared" si="1"/>
        <v>1</v>
      </c>
    </row>
    <row r="14">
      <c r="A14" s="2">
        <v>13.0</v>
      </c>
      <c r="B14" s="2" t="s">
        <v>18</v>
      </c>
      <c r="C14" s="3">
        <v>44129.0</v>
      </c>
      <c r="D14" s="2">
        <v>14.0</v>
      </c>
      <c r="E14" s="2">
        <v>0.0</v>
      </c>
      <c r="F14" s="2">
        <f t="shared" si="1"/>
        <v>1</v>
      </c>
    </row>
    <row r="15">
      <c r="A15" s="2">
        <v>14.0</v>
      </c>
      <c r="B15" s="2" t="s">
        <v>19</v>
      </c>
      <c r="C15" s="3">
        <v>44129.0</v>
      </c>
      <c r="D15" s="2">
        <v>0.0</v>
      </c>
      <c r="E15" s="2">
        <v>0.0</v>
      </c>
      <c r="F15" s="2">
        <f t="shared" si="1"/>
        <v>0</v>
      </c>
    </row>
    <row r="16">
      <c r="A16" s="2">
        <v>15.0</v>
      </c>
      <c r="B16" s="2" t="s">
        <v>20</v>
      </c>
      <c r="C16" s="3">
        <v>44129.0</v>
      </c>
      <c r="D16" s="2">
        <v>0.0</v>
      </c>
      <c r="E16" s="2">
        <v>0.0</v>
      </c>
      <c r="F16" s="2">
        <f t="shared" si="1"/>
        <v>0</v>
      </c>
    </row>
    <row r="17">
      <c r="A17" s="2">
        <v>16.0</v>
      </c>
      <c r="B17" s="2" t="s">
        <v>21</v>
      </c>
      <c r="C17" s="3">
        <v>44129.0</v>
      </c>
      <c r="D17" s="2">
        <v>0.0</v>
      </c>
      <c r="E17" s="2">
        <v>0.0</v>
      </c>
      <c r="F17" s="2">
        <f t="shared" si="1"/>
        <v>0</v>
      </c>
    </row>
    <row r="18">
      <c r="A18" s="2">
        <v>17.0</v>
      </c>
      <c r="B18" s="2" t="s">
        <v>22</v>
      </c>
      <c r="C18" s="3">
        <v>44129.0</v>
      </c>
      <c r="D18" s="2">
        <v>0.0</v>
      </c>
      <c r="E18" s="2">
        <v>0.0</v>
      </c>
      <c r="F18" s="2">
        <f t="shared" si="1"/>
        <v>0</v>
      </c>
    </row>
    <row r="19">
      <c r="A19" s="2">
        <v>18.0</v>
      </c>
      <c r="B19" s="2" t="s">
        <v>23</v>
      </c>
      <c r="C19" s="3">
        <v>44129.0</v>
      </c>
      <c r="D19" s="2">
        <v>24.0</v>
      </c>
      <c r="E19" s="2">
        <v>0.0</v>
      </c>
      <c r="F19" s="2">
        <f t="shared" si="1"/>
        <v>1</v>
      </c>
    </row>
    <row r="20">
      <c r="A20" s="2">
        <v>19.0</v>
      </c>
      <c r="B20" s="2" t="s">
        <v>24</v>
      </c>
      <c r="C20" s="3">
        <v>44129.0</v>
      </c>
      <c r="D20" s="2">
        <v>0.0</v>
      </c>
      <c r="E20" s="2">
        <v>0.0</v>
      </c>
      <c r="F20" s="2">
        <f t="shared" si="1"/>
        <v>0</v>
      </c>
    </row>
    <row r="21">
      <c r="A21" s="2">
        <v>20.0</v>
      </c>
      <c r="B21" s="2" t="s">
        <v>25</v>
      </c>
      <c r="C21" s="3">
        <v>44129.0</v>
      </c>
      <c r="D21" s="2">
        <v>0.0</v>
      </c>
      <c r="E21" s="2">
        <v>0.0</v>
      </c>
      <c r="F21" s="2">
        <f t="shared" si="1"/>
        <v>0</v>
      </c>
    </row>
    <row r="22">
      <c r="A22" s="2">
        <v>21.0</v>
      </c>
      <c r="B22" s="2" t="s">
        <v>26</v>
      </c>
      <c r="C22" s="3">
        <v>44129.0</v>
      </c>
      <c r="D22" s="2">
        <v>29.0</v>
      </c>
      <c r="E22" s="2">
        <v>0.0</v>
      </c>
      <c r="F22" s="2">
        <f t="shared" si="1"/>
        <v>1</v>
      </c>
    </row>
    <row r="23">
      <c r="A23" s="2">
        <v>22.0</v>
      </c>
      <c r="B23" s="2" t="s">
        <v>27</v>
      </c>
      <c r="C23" s="3">
        <v>44129.0</v>
      </c>
      <c r="D23" s="2">
        <v>0.0</v>
      </c>
      <c r="E23" s="2">
        <v>0.0</v>
      </c>
      <c r="F23" s="2">
        <f t="shared" si="1"/>
        <v>0</v>
      </c>
    </row>
    <row r="24">
      <c r="A24" s="2">
        <v>23.0</v>
      </c>
      <c r="B24" s="2" t="s">
        <v>28</v>
      </c>
      <c r="C24" s="3">
        <v>44129.0</v>
      </c>
      <c r="D24" s="2">
        <v>0.0</v>
      </c>
      <c r="E24" s="2">
        <v>0.0</v>
      </c>
      <c r="F24" s="2">
        <f t="shared" si="1"/>
        <v>0</v>
      </c>
    </row>
    <row r="25">
      <c r="A25" s="2">
        <v>24.0</v>
      </c>
      <c r="B25" s="2" t="s">
        <v>29</v>
      </c>
      <c r="C25" s="3">
        <v>44129.0</v>
      </c>
      <c r="D25" s="2">
        <v>0.0</v>
      </c>
      <c r="E25" s="2">
        <v>0.0</v>
      </c>
      <c r="F25" s="2">
        <f t="shared" si="1"/>
        <v>0</v>
      </c>
    </row>
    <row r="26">
      <c r="A26" s="2">
        <v>25.0</v>
      </c>
      <c r="B26" s="2" t="s">
        <v>30</v>
      </c>
      <c r="C26" s="3">
        <v>44129.0</v>
      </c>
      <c r="D26" s="2">
        <v>59.0</v>
      </c>
      <c r="E26" s="2">
        <v>0.0</v>
      </c>
      <c r="F26" s="2">
        <f t="shared" si="1"/>
        <v>1</v>
      </c>
    </row>
    <row r="27">
      <c r="A27" s="2">
        <v>26.0</v>
      </c>
      <c r="B27" s="2" t="s">
        <v>31</v>
      </c>
      <c r="C27" s="3">
        <v>44129.0</v>
      </c>
      <c r="D27" s="2">
        <v>0.0</v>
      </c>
      <c r="E27" s="2">
        <v>0.0</v>
      </c>
      <c r="F27" s="2">
        <f t="shared" si="1"/>
        <v>0</v>
      </c>
    </row>
    <row r="28">
      <c r="A28" s="2">
        <v>27.0</v>
      </c>
      <c r="B28" s="2" t="s">
        <v>32</v>
      </c>
      <c r="C28" s="3">
        <v>44129.0</v>
      </c>
      <c r="D28" s="2">
        <v>0.0</v>
      </c>
      <c r="E28" s="2">
        <v>0.0</v>
      </c>
      <c r="F28" s="2">
        <f t="shared" si="1"/>
        <v>0</v>
      </c>
    </row>
    <row r="29">
      <c r="A29" s="2">
        <v>28.0</v>
      </c>
      <c r="B29" s="2" t="s">
        <v>33</v>
      </c>
      <c r="C29" s="3">
        <v>44129.0</v>
      </c>
      <c r="D29" s="2">
        <v>0.0</v>
      </c>
      <c r="E29" s="2">
        <v>0.0</v>
      </c>
      <c r="F29" s="2">
        <f t="shared" si="1"/>
        <v>0</v>
      </c>
    </row>
    <row r="30">
      <c r="A30" s="2">
        <v>29.0</v>
      </c>
      <c r="B30" s="2" t="s">
        <v>34</v>
      </c>
      <c r="C30" s="3">
        <v>44129.0</v>
      </c>
      <c r="D30" s="2">
        <v>43.0</v>
      </c>
      <c r="E30" s="2">
        <v>0.0</v>
      </c>
      <c r="F30" s="2">
        <f t="shared" si="1"/>
        <v>1</v>
      </c>
    </row>
    <row r="31">
      <c r="A31" s="2">
        <v>30.0</v>
      </c>
      <c r="B31" s="2" t="s">
        <v>35</v>
      </c>
      <c r="C31" s="3">
        <v>44129.0</v>
      </c>
      <c r="D31" s="2">
        <v>46.0</v>
      </c>
      <c r="E31" s="2">
        <v>0.0</v>
      </c>
      <c r="F31" s="2">
        <f t="shared" si="1"/>
        <v>1</v>
      </c>
    </row>
    <row r="32">
      <c r="A32" s="2">
        <v>31.0</v>
      </c>
      <c r="B32" s="2" t="s">
        <v>36</v>
      </c>
      <c r="C32" s="3">
        <v>44129.0</v>
      </c>
      <c r="D32" s="2">
        <v>0.0</v>
      </c>
      <c r="E32" s="2">
        <v>0.0</v>
      </c>
      <c r="F32" s="2">
        <f t="shared" si="1"/>
        <v>0</v>
      </c>
    </row>
    <row r="33">
      <c r="A33" s="2">
        <v>32.0</v>
      </c>
      <c r="B33" s="2" t="s">
        <v>37</v>
      </c>
      <c r="C33" s="3">
        <v>44129.0</v>
      </c>
      <c r="D33" s="2">
        <v>0.0</v>
      </c>
      <c r="E33" s="2">
        <v>0.0</v>
      </c>
      <c r="F33" s="2">
        <f t="shared" si="1"/>
        <v>0</v>
      </c>
    </row>
    <row r="34">
      <c r="A34" s="2">
        <v>33.0</v>
      </c>
      <c r="B34" s="2" t="s">
        <v>38</v>
      </c>
      <c r="C34" s="3">
        <v>44129.0</v>
      </c>
      <c r="D34" s="2">
        <v>0.0</v>
      </c>
      <c r="E34" s="2">
        <v>0.0</v>
      </c>
      <c r="F34" s="2">
        <f t="shared" si="1"/>
        <v>0</v>
      </c>
    </row>
    <row r="35">
      <c r="A35" s="2">
        <v>34.0</v>
      </c>
      <c r="B35" s="2" t="s">
        <v>39</v>
      </c>
      <c r="C35" s="3">
        <v>44129.0</v>
      </c>
      <c r="D35" s="2">
        <v>0.0</v>
      </c>
      <c r="E35" s="2">
        <v>0.0</v>
      </c>
      <c r="F35" s="2">
        <f t="shared" si="1"/>
        <v>0</v>
      </c>
    </row>
    <row r="36">
      <c r="A36" s="2">
        <v>35.0</v>
      </c>
      <c r="B36" s="2" t="s">
        <v>40</v>
      </c>
      <c r="C36" s="3">
        <v>44129.0</v>
      </c>
      <c r="D36" s="2">
        <v>0.0</v>
      </c>
      <c r="E36" s="2">
        <v>0.0</v>
      </c>
      <c r="F36" s="2">
        <f t="shared" si="1"/>
        <v>0</v>
      </c>
    </row>
    <row r="37">
      <c r="A37" s="2">
        <v>36.0</v>
      </c>
      <c r="B37" s="2" t="s">
        <v>41</v>
      </c>
      <c r="C37" s="3">
        <v>44129.0</v>
      </c>
      <c r="D37" s="2">
        <v>12.0</v>
      </c>
      <c r="E37" s="2">
        <v>0.0</v>
      </c>
      <c r="F37" s="2">
        <f t="shared" si="1"/>
        <v>1</v>
      </c>
    </row>
    <row r="38">
      <c r="A38" s="2">
        <v>37.0</v>
      </c>
      <c r="B38" s="2" t="s">
        <v>42</v>
      </c>
      <c r="C38" s="3">
        <v>44129.0</v>
      </c>
      <c r="D38" s="2">
        <v>20.0</v>
      </c>
      <c r="E38" s="2">
        <v>0.0</v>
      </c>
      <c r="F38" s="2">
        <f t="shared" si="1"/>
        <v>1</v>
      </c>
    </row>
    <row r="39">
      <c r="A39" s="2">
        <v>38.0</v>
      </c>
      <c r="B39" s="2" t="s">
        <v>43</v>
      </c>
      <c r="C39" s="3">
        <v>44129.0</v>
      </c>
      <c r="D39" s="2">
        <v>0.0</v>
      </c>
      <c r="E39" s="2">
        <v>0.0</v>
      </c>
      <c r="F39" s="2">
        <f t="shared" si="1"/>
        <v>0</v>
      </c>
    </row>
    <row r="40">
      <c r="A40" s="2">
        <v>39.0</v>
      </c>
      <c r="B40" s="2" t="s">
        <v>44</v>
      </c>
      <c r="C40" s="3">
        <v>44129.0</v>
      </c>
      <c r="D40" s="2">
        <v>0.0</v>
      </c>
      <c r="E40" s="2">
        <v>0.0</v>
      </c>
      <c r="F40" s="2">
        <f t="shared" si="1"/>
        <v>0</v>
      </c>
    </row>
    <row r="41">
      <c r="A41" s="2">
        <v>40.0</v>
      </c>
      <c r="B41" s="2" t="s">
        <v>45</v>
      </c>
      <c r="C41" s="3">
        <v>44129.0</v>
      </c>
      <c r="D41" s="2">
        <v>33.0</v>
      </c>
      <c r="E41" s="2">
        <v>0.0</v>
      </c>
      <c r="F41" s="2">
        <f t="shared" si="1"/>
        <v>1</v>
      </c>
    </row>
    <row r="42">
      <c r="A42" s="2">
        <v>41.0</v>
      </c>
      <c r="B42" s="2" t="s">
        <v>46</v>
      </c>
      <c r="C42" s="3">
        <v>44129.0</v>
      </c>
      <c r="D42" s="2">
        <v>0.0</v>
      </c>
      <c r="E42" s="2">
        <v>0.0</v>
      </c>
      <c r="F42" s="2">
        <f t="shared" si="1"/>
        <v>0</v>
      </c>
    </row>
    <row r="43">
      <c r="A43" s="2">
        <v>42.0</v>
      </c>
      <c r="B43" s="2" t="s">
        <v>47</v>
      </c>
      <c r="C43" s="3">
        <v>44129.0</v>
      </c>
      <c r="D43" s="2">
        <v>0.0</v>
      </c>
      <c r="E43" s="2">
        <v>0.0</v>
      </c>
      <c r="F43" s="2">
        <f t="shared" si="1"/>
        <v>0</v>
      </c>
    </row>
    <row r="44">
      <c r="A44" s="2">
        <v>43.0</v>
      </c>
      <c r="B44" s="2" t="s">
        <v>48</v>
      </c>
      <c r="C44" s="3">
        <v>44129.0</v>
      </c>
      <c r="D44" s="2">
        <v>35.0</v>
      </c>
      <c r="E44" s="2">
        <v>0.0</v>
      </c>
      <c r="F44" s="2">
        <f t="shared" si="1"/>
        <v>1</v>
      </c>
    </row>
    <row r="45">
      <c r="A45" s="2">
        <v>44.0</v>
      </c>
      <c r="B45" s="2" t="s">
        <v>49</v>
      </c>
      <c r="C45" s="3">
        <v>44129.0</v>
      </c>
      <c r="D45" s="2">
        <v>36.0</v>
      </c>
      <c r="E45" s="2">
        <v>0.0</v>
      </c>
      <c r="F45" s="2">
        <f t="shared" si="1"/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44136.0</v>
      </c>
      <c r="D2" s="2">
        <v>0.0</v>
      </c>
      <c r="E2" s="2">
        <v>0.0</v>
      </c>
      <c r="F2" s="2">
        <f t="shared" ref="F2:F45" si="1">IF(OR(D2&gt;0, E2&gt;0), 1, 0)</f>
        <v>0</v>
      </c>
    </row>
    <row r="3">
      <c r="A3" s="2">
        <v>2.0</v>
      </c>
      <c r="B3" s="2" t="s">
        <v>7</v>
      </c>
      <c r="C3" s="3">
        <v>44136.0</v>
      </c>
      <c r="D3" s="2">
        <v>102.0</v>
      </c>
      <c r="E3" s="2">
        <v>516.0</v>
      </c>
      <c r="F3" s="2">
        <f t="shared" si="1"/>
        <v>1</v>
      </c>
    </row>
    <row r="4">
      <c r="A4" s="2">
        <v>3.0</v>
      </c>
      <c r="B4" s="2" t="s">
        <v>8</v>
      </c>
      <c r="C4" s="3">
        <v>44136.0</v>
      </c>
      <c r="D4" s="2"/>
      <c r="E4" s="2">
        <v>0.0</v>
      </c>
      <c r="F4" s="2">
        <f t="shared" si="1"/>
        <v>0</v>
      </c>
    </row>
    <row r="5">
      <c r="A5" s="2">
        <v>4.0</v>
      </c>
      <c r="B5" s="2" t="s">
        <v>9</v>
      </c>
      <c r="C5" s="3">
        <v>44136.0</v>
      </c>
      <c r="D5" s="2">
        <v>92.0</v>
      </c>
      <c r="E5" s="2">
        <v>295.0</v>
      </c>
      <c r="F5" s="2">
        <f t="shared" si="1"/>
        <v>1</v>
      </c>
    </row>
    <row r="6">
      <c r="A6" s="2">
        <v>5.0</v>
      </c>
      <c r="B6" s="2" t="s">
        <v>10</v>
      </c>
      <c r="C6" s="3">
        <v>44136.0</v>
      </c>
      <c r="D6" s="2"/>
      <c r="E6" s="2">
        <v>0.0</v>
      </c>
      <c r="F6" s="2">
        <f t="shared" si="1"/>
        <v>0</v>
      </c>
    </row>
    <row r="7">
      <c r="A7" s="2">
        <v>6.0</v>
      </c>
      <c r="B7" s="2" t="s">
        <v>11</v>
      </c>
      <c r="C7" s="3">
        <v>44136.0</v>
      </c>
      <c r="D7" s="2"/>
      <c r="E7" s="2">
        <v>0.0</v>
      </c>
      <c r="F7" s="2">
        <f t="shared" si="1"/>
        <v>0</v>
      </c>
    </row>
    <row r="8">
      <c r="A8" s="2">
        <v>7.0</v>
      </c>
      <c r="B8" s="2" t="s">
        <v>12</v>
      </c>
      <c r="C8" s="3">
        <v>44136.0</v>
      </c>
      <c r="D8" s="2">
        <v>17.0</v>
      </c>
      <c r="E8" s="2">
        <v>37.0</v>
      </c>
      <c r="F8" s="2">
        <f t="shared" si="1"/>
        <v>1</v>
      </c>
    </row>
    <row r="9">
      <c r="A9" s="2">
        <v>8.0</v>
      </c>
      <c r="B9" s="2" t="s">
        <v>13</v>
      </c>
      <c r="C9" s="3">
        <v>44136.0</v>
      </c>
      <c r="D9" s="2">
        <v>35.0</v>
      </c>
      <c r="E9" s="2">
        <v>113.0</v>
      </c>
      <c r="F9" s="2">
        <f t="shared" si="1"/>
        <v>1</v>
      </c>
    </row>
    <row r="10">
      <c r="A10" s="2">
        <v>9.0</v>
      </c>
      <c r="B10" s="2" t="s">
        <v>14</v>
      </c>
      <c r="C10" s="3">
        <v>44136.0</v>
      </c>
      <c r="D10" s="2">
        <v>97.0</v>
      </c>
      <c r="E10" s="2">
        <v>487.0</v>
      </c>
      <c r="F10" s="2">
        <f t="shared" si="1"/>
        <v>1</v>
      </c>
    </row>
    <row r="11">
      <c r="A11" s="2">
        <v>10.0</v>
      </c>
      <c r="B11" s="2" t="s">
        <v>15</v>
      </c>
      <c r="C11" s="3">
        <v>44136.0</v>
      </c>
      <c r="D11" s="2">
        <v>146.0</v>
      </c>
      <c r="E11" s="2">
        <v>584.0</v>
      </c>
      <c r="F11" s="2">
        <f t="shared" si="1"/>
        <v>1</v>
      </c>
    </row>
    <row r="12">
      <c r="A12" s="2">
        <v>11.0</v>
      </c>
      <c r="B12" s="2" t="s">
        <v>16</v>
      </c>
      <c r="C12" s="3">
        <v>44136.0</v>
      </c>
      <c r="E12" s="2">
        <v>0.0</v>
      </c>
      <c r="F12" s="2">
        <f t="shared" si="1"/>
        <v>0</v>
      </c>
    </row>
    <row r="13">
      <c r="A13" s="2">
        <v>12.0</v>
      </c>
      <c r="B13" s="2" t="s">
        <v>17</v>
      </c>
      <c r="C13" s="3">
        <v>44136.0</v>
      </c>
      <c r="D13" s="2">
        <v>112.0</v>
      </c>
      <c r="E13" s="2">
        <v>422.0</v>
      </c>
      <c r="F13" s="2">
        <f t="shared" si="1"/>
        <v>1</v>
      </c>
    </row>
    <row r="14">
      <c r="A14" s="2">
        <v>13.0</v>
      </c>
      <c r="B14" s="2" t="s">
        <v>18</v>
      </c>
      <c r="C14" s="3">
        <v>44136.0</v>
      </c>
      <c r="E14" s="2">
        <v>0.0</v>
      </c>
      <c r="F14" s="2">
        <f t="shared" si="1"/>
        <v>0</v>
      </c>
    </row>
    <row r="15">
      <c r="A15" s="2">
        <v>14.0</v>
      </c>
      <c r="B15" s="2" t="s">
        <v>19</v>
      </c>
      <c r="C15" s="3">
        <v>44136.0</v>
      </c>
      <c r="E15" s="2">
        <v>0.0</v>
      </c>
      <c r="F15" s="2">
        <f t="shared" si="1"/>
        <v>0</v>
      </c>
    </row>
    <row r="16">
      <c r="A16" s="2">
        <v>15.0</v>
      </c>
      <c r="B16" s="2" t="s">
        <v>20</v>
      </c>
      <c r="C16" s="3">
        <v>44136.0</v>
      </c>
      <c r="E16" s="2">
        <v>0.0</v>
      </c>
      <c r="F16" s="2">
        <f t="shared" si="1"/>
        <v>0</v>
      </c>
    </row>
    <row r="17">
      <c r="A17" s="2">
        <v>16.0</v>
      </c>
      <c r="B17" s="2" t="s">
        <v>21</v>
      </c>
      <c r="C17" s="3">
        <v>44136.0</v>
      </c>
      <c r="E17" s="2">
        <v>0.0</v>
      </c>
      <c r="F17" s="2">
        <f t="shared" si="1"/>
        <v>0</v>
      </c>
    </row>
    <row r="18">
      <c r="A18" s="2">
        <v>17.0</v>
      </c>
      <c r="B18" s="2" t="s">
        <v>22</v>
      </c>
      <c r="C18" s="3">
        <v>44136.0</v>
      </c>
      <c r="E18" s="2">
        <v>0.0</v>
      </c>
      <c r="F18" s="2">
        <f t="shared" si="1"/>
        <v>0</v>
      </c>
    </row>
    <row r="19">
      <c r="A19" s="2">
        <v>18.0</v>
      </c>
      <c r="B19" s="2" t="s">
        <v>23</v>
      </c>
      <c r="C19" s="3">
        <v>44136.0</v>
      </c>
      <c r="D19" s="2">
        <v>101.0</v>
      </c>
      <c r="E19" s="2">
        <v>516.0</v>
      </c>
      <c r="F19" s="2">
        <f t="shared" si="1"/>
        <v>1</v>
      </c>
    </row>
    <row r="20">
      <c r="A20" s="2">
        <v>19.0</v>
      </c>
      <c r="B20" s="2" t="s">
        <v>24</v>
      </c>
      <c r="C20" s="3">
        <v>44136.0</v>
      </c>
      <c r="D20" s="2"/>
      <c r="E20" s="2">
        <v>0.0</v>
      </c>
      <c r="F20" s="2">
        <f t="shared" si="1"/>
        <v>0</v>
      </c>
    </row>
    <row r="21">
      <c r="A21" s="2">
        <v>20.0</v>
      </c>
      <c r="B21" s="2" t="s">
        <v>25</v>
      </c>
      <c r="C21" s="3">
        <v>44136.0</v>
      </c>
      <c r="D21" s="2"/>
      <c r="E21" s="2">
        <v>0.0</v>
      </c>
      <c r="F21" s="2">
        <f t="shared" si="1"/>
        <v>0</v>
      </c>
    </row>
    <row r="22">
      <c r="A22" s="2">
        <v>21.0</v>
      </c>
      <c r="B22" s="2" t="s">
        <v>26</v>
      </c>
      <c r="C22" s="3">
        <v>44136.0</v>
      </c>
      <c r="D22" s="2">
        <v>16.0</v>
      </c>
      <c r="E22" s="2">
        <v>66.0</v>
      </c>
      <c r="F22" s="2">
        <f t="shared" si="1"/>
        <v>1</v>
      </c>
    </row>
    <row r="23">
      <c r="A23" s="2">
        <v>22.0</v>
      </c>
      <c r="B23" s="2" t="s">
        <v>27</v>
      </c>
      <c r="C23" s="3">
        <v>44136.0</v>
      </c>
      <c r="D23" s="2"/>
      <c r="E23" s="2">
        <v>0.0</v>
      </c>
      <c r="F23" s="2">
        <f t="shared" si="1"/>
        <v>0</v>
      </c>
    </row>
    <row r="24">
      <c r="A24" s="2">
        <v>23.0</v>
      </c>
      <c r="B24" s="2" t="s">
        <v>28</v>
      </c>
      <c r="C24" s="3">
        <v>44136.0</v>
      </c>
      <c r="D24" s="2">
        <v>11.0</v>
      </c>
      <c r="E24" s="2">
        <v>42.0</v>
      </c>
      <c r="F24" s="2">
        <f t="shared" si="1"/>
        <v>1</v>
      </c>
    </row>
    <row r="25">
      <c r="A25" s="2">
        <v>24.0</v>
      </c>
      <c r="B25" s="2" t="s">
        <v>29</v>
      </c>
      <c r="C25" s="3">
        <v>44136.0</v>
      </c>
      <c r="D25" s="2">
        <v>56.0</v>
      </c>
      <c r="E25" s="2">
        <v>224.0</v>
      </c>
      <c r="F25" s="2">
        <f t="shared" si="1"/>
        <v>1</v>
      </c>
    </row>
    <row r="26">
      <c r="A26" s="2">
        <v>25.0</v>
      </c>
      <c r="B26" s="2" t="s">
        <v>30</v>
      </c>
      <c r="C26" s="3">
        <v>44136.0</v>
      </c>
      <c r="D26" s="2">
        <v>129.0</v>
      </c>
      <c r="E26" s="2">
        <v>259.0</v>
      </c>
      <c r="F26" s="2">
        <f t="shared" si="1"/>
        <v>1</v>
      </c>
    </row>
    <row r="27">
      <c r="A27" s="2">
        <v>26.0</v>
      </c>
      <c r="B27" s="2" t="s">
        <v>31</v>
      </c>
      <c r="C27" s="3">
        <v>44136.0</v>
      </c>
      <c r="D27" s="2"/>
      <c r="E27" s="2">
        <v>0.0</v>
      </c>
      <c r="F27" s="2">
        <f t="shared" si="1"/>
        <v>0</v>
      </c>
    </row>
    <row r="28">
      <c r="A28" s="2">
        <v>27.0</v>
      </c>
      <c r="B28" s="2" t="s">
        <v>32</v>
      </c>
      <c r="C28" s="3">
        <v>44136.0</v>
      </c>
      <c r="D28" s="2">
        <v>17.0</v>
      </c>
      <c r="E28" s="2">
        <v>86.0</v>
      </c>
      <c r="F28" s="2">
        <f t="shared" si="1"/>
        <v>1</v>
      </c>
    </row>
    <row r="29">
      <c r="A29" s="2">
        <v>28.0</v>
      </c>
      <c r="B29" s="2" t="s">
        <v>33</v>
      </c>
      <c r="C29" s="3">
        <v>44136.0</v>
      </c>
      <c r="E29" s="2">
        <v>0.0</v>
      </c>
      <c r="F29" s="2">
        <f t="shared" si="1"/>
        <v>0</v>
      </c>
    </row>
    <row r="30">
      <c r="A30" s="2">
        <v>29.0</v>
      </c>
      <c r="B30" s="2" t="s">
        <v>34</v>
      </c>
      <c r="C30" s="3">
        <v>44136.0</v>
      </c>
      <c r="D30" s="2">
        <v>14.0</v>
      </c>
      <c r="E30" s="2">
        <v>59.0</v>
      </c>
      <c r="F30" s="2">
        <f t="shared" si="1"/>
        <v>1</v>
      </c>
    </row>
    <row r="31">
      <c r="A31" s="2">
        <v>30.0</v>
      </c>
      <c r="B31" s="2" t="s">
        <v>35</v>
      </c>
      <c r="C31" s="3">
        <v>44136.0</v>
      </c>
      <c r="D31" s="2">
        <v>63.0</v>
      </c>
      <c r="E31" s="2">
        <v>239.0</v>
      </c>
      <c r="F31" s="2">
        <f t="shared" si="1"/>
        <v>1</v>
      </c>
    </row>
    <row r="32">
      <c r="A32" s="2">
        <v>31.0</v>
      </c>
      <c r="B32" s="2" t="s">
        <v>36</v>
      </c>
      <c r="C32" s="3">
        <v>44136.0</v>
      </c>
      <c r="D32" s="2">
        <v>10.0</v>
      </c>
      <c r="E32" s="2">
        <v>49.0</v>
      </c>
      <c r="F32" s="2">
        <f t="shared" si="1"/>
        <v>1</v>
      </c>
    </row>
    <row r="33">
      <c r="A33" s="2">
        <v>32.0</v>
      </c>
      <c r="B33" s="2" t="s">
        <v>37</v>
      </c>
      <c r="C33" s="3">
        <v>44136.0</v>
      </c>
      <c r="E33" s="2">
        <v>0.0</v>
      </c>
      <c r="F33" s="2">
        <f t="shared" si="1"/>
        <v>0</v>
      </c>
    </row>
    <row r="34">
      <c r="A34" s="2">
        <v>33.0</v>
      </c>
      <c r="B34" s="2" t="s">
        <v>38</v>
      </c>
      <c r="C34" s="3">
        <v>44136.0</v>
      </c>
      <c r="D34" s="2">
        <v>31.0</v>
      </c>
      <c r="E34" s="2">
        <v>116.0</v>
      </c>
      <c r="F34" s="2">
        <f t="shared" si="1"/>
        <v>1</v>
      </c>
    </row>
    <row r="35">
      <c r="A35" s="2">
        <v>34.0</v>
      </c>
      <c r="B35" s="2" t="s">
        <v>39</v>
      </c>
      <c r="C35" s="3">
        <v>44136.0</v>
      </c>
      <c r="D35" s="2">
        <v>45.0</v>
      </c>
      <c r="E35" s="2">
        <v>174.0</v>
      </c>
      <c r="F35" s="2">
        <f t="shared" si="1"/>
        <v>1</v>
      </c>
    </row>
    <row r="36">
      <c r="A36" s="2">
        <v>35.0</v>
      </c>
      <c r="B36" s="2" t="s">
        <v>40</v>
      </c>
      <c r="C36" s="3">
        <v>44136.0</v>
      </c>
      <c r="D36" s="2">
        <v>39.0</v>
      </c>
      <c r="E36" s="2">
        <v>156.0</v>
      </c>
      <c r="F36" s="2">
        <f t="shared" si="1"/>
        <v>1</v>
      </c>
    </row>
    <row r="37">
      <c r="A37" s="2">
        <v>36.0</v>
      </c>
      <c r="B37" s="2" t="s">
        <v>41</v>
      </c>
      <c r="C37" s="3">
        <v>44136.0</v>
      </c>
      <c r="D37" s="2">
        <v>28.0</v>
      </c>
      <c r="E37" s="2">
        <v>88.0</v>
      </c>
      <c r="F37" s="2">
        <f t="shared" si="1"/>
        <v>1</v>
      </c>
    </row>
    <row r="38">
      <c r="A38" s="2">
        <v>37.0</v>
      </c>
      <c r="B38" s="2" t="s">
        <v>42</v>
      </c>
      <c r="C38" s="3">
        <v>44136.0</v>
      </c>
      <c r="D38" s="2">
        <v>164.0</v>
      </c>
      <c r="E38" s="2">
        <v>626.0</v>
      </c>
      <c r="F38" s="2">
        <f t="shared" si="1"/>
        <v>1</v>
      </c>
    </row>
    <row r="39">
      <c r="A39" s="2">
        <v>38.0</v>
      </c>
      <c r="B39" s="2" t="s">
        <v>43</v>
      </c>
      <c r="C39" s="3">
        <v>44136.0</v>
      </c>
      <c r="E39" s="2">
        <v>0.0</v>
      </c>
      <c r="F39" s="2">
        <f t="shared" si="1"/>
        <v>0</v>
      </c>
    </row>
    <row r="40">
      <c r="A40" s="2">
        <v>39.0</v>
      </c>
      <c r="B40" s="2" t="s">
        <v>44</v>
      </c>
      <c r="C40" s="3">
        <v>44136.0</v>
      </c>
      <c r="D40" s="2">
        <v>21.0</v>
      </c>
      <c r="E40" s="2">
        <v>97.0</v>
      </c>
      <c r="F40" s="2">
        <f t="shared" si="1"/>
        <v>1</v>
      </c>
    </row>
    <row r="41">
      <c r="A41" s="2">
        <v>40.0</v>
      </c>
      <c r="B41" s="2" t="s">
        <v>45</v>
      </c>
      <c r="C41" s="3">
        <v>44136.0</v>
      </c>
      <c r="D41" s="2">
        <v>22.0</v>
      </c>
      <c r="E41" s="2">
        <v>70.0</v>
      </c>
      <c r="F41" s="2">
        <f t="shared" si="1"/>
        <v>1</v>
      </c>
    </row>
    <row r="42">
      <c r="A42" s="2">
        <v>41.0</v>
      </c>
      <c r="B42" s="2" t="s">
        <v>46</v>
      </c>
      <c r="C42" s="3">
        <v>44136.0</v>
      </c>
      <c r="E42" s="2">
        <v>0.0</v>
      </c>
      <c r="F42" s="2">
        <f t="shared" si="1"/>
        <v>0</v>
      </c>
    </row>
    <row r="43">
      <c r="A43" s="2">
        <v>42.0</v>
      </c>
      <c r="B43" s="2" t="s">
        <v>47</v>
      </c>
      <c r="C43" s="3">
        <v>44136.0</v>
      </c>
      <c r="D43" s="2">
        <v>8.0</v>
      </c>
      <c r="E43" s="2">
        <v>12.0</v>
      </c>
      <c r="F43" s="2">
        <f t="shared" si="1"/>
        <v>1</v>
      </c>
    </row>
    <row r="44">
      <c r="A44" s="2">
        <v>43.0</v>
      </c>
      <c r="B44" s="2" t="s">
        <v>48</v>
      </c>
      <c r="C44" s="3">
        <v>44136.0</v>
      </c>
      <c r="D44" s="2">
        <v>54.0</v>
      </c>
      <c r="E44" s="2">
        <v>170.0</v>
      </c>
      <c r="F44" s="2">
        <f t="shared" si="1"/>
        <v>1</v>
      </c>
    </row>
    <row r="45">
      <c r="A45" s="2">
        <v>44.0</v>
      </c>
      <c r="B45" s="2" t="s">
        <v>49</v>
      </c>
      <c r="C45" s="3">
        <v>44136.0</v>
      </c>
      <c r="D45" s="2">
        <v>61.0</v>
      </c>
      <c r="E45" s="2">
        <v>244.0</v>
      </c>
      <c r="F45" s="2">
        <f t="shared" si="1"/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44147.0</v>
      </c>
      <c r="D2" s="2">
        <v>0.0</v>
      </c>
      <c r="F2" s="2">
        <f t="shared" ref="F2:F31" si="1">IF(OR(D2&gt;0, E2&gt;0), 1, 0)</f>
        <v>0</v>
      </c>
    </row>
    <row r="3">
      <c r="A3" s="2">
        <v>2.0</v>
      </c>
      <c r="B3" s="2" t="s">
        <v>7</v>
      </c>
      <c r="C3" s="3">
        <v>44147.0</v>
      </c>
      <c r="D3" s="2">
        <v>23.0</v>
      </c>
      <c r="E3" s="2">
        <v>100.0</v>
      </c>
      <c r="F3" s="2">
        <f t="shared" si="1"/>
        <v>1</v>
      </c>
    </row>
    <row r="4">
      <c r="A4" s="2">
        <v>3.0</v>
      </c>
      <c r="B4" s="2" t="s">
        <v>8</v>
      </c>
      <c r="C4" s="3">
        <v>44147.0</v>
      </c>
      <c r="F4" s="2">
        <f t="shared" si="1"/>
        <v>0</v>
      </c>
    </row>
    <row r="5">
      <c r="A5" s="2">
        <v>4.0</v>
      </c>
      <c r="B5" s="2" t="s">
        <v>9</v>
      </c>
      <c r="C5" s="3">
        <v>44147.0</v>
      </c>
      <c r="F5" s="2">
        <f t="shared" si="1"/>
        <v>0</v>
      </c>
    </row>
    <row r="6">
      <c r="A6" s="2">
        <v>5.0</v>
      </c>
      <c r="B6" s="2" t="s">
        <v>10</v>
      </c>
      <c r="C6" s="3">
        <v>44147.0</v>
      </c>
      <c r="F6" s="2">
        <f t="shared" si="1"/>
        <v>0</v>
      </c>
    </row>
    <row r="7">
      <c r="A7" s="2">
        <v>6.0</v>
      </c>
      <c r="B7" s="2" t="s">
        <v>11</v>
      </c>
      <c r="C7" s="3">
        <v>44147.0</v>
      </c>
      <c r="D7" s="2">
        <v>58.0</v>
      </c>
      <c r="F7" s="2">
        <f t="shared" si="1"/>
        <v>1</v>
      </c>
    </row>
    <row r="8">
      <c r="A8" s="2">
        <v>7.0</v>
      </c>
      <c r="B8" s="2" t="s">
        <v>12</v>
      </c>
      <c r="C8" s="3">
        <v>44147.0</v>
      </c>
      <c r="F8" s="2">
        <f t="shared" si="1"/>
        <v>0</v>
      </c>
    </row>
    <row r="9">
      <c r="A9" s="2">
        <v>8.0</v>
      </c>
      <c r="B9" s="2" t="s">
        <v>13</v>
      </c>
      <c r="C9" s="3">
        <v>44147.0</v>
      </c>
      <c r="D9" s="2">
        <v>54.0</v>
      </c>
      <c r="E9" s="2">
        <v>188.0</v>
      </c>
      <c r="F9" s="2">
        <f t="shared" si="1"/>
        <v>1</v>
      </c>
    </row>
    <row r="10">
      <c r="A10" s="2">
        <v>9.0</v>
      </c>
      <c r="B10" s="2" t="s">
        <v>14</v>
      </c>
      <c r="C10" s="3">
        <v>44147.0</v>
      </c>
      <c r="D10" s="2">
        <v>77.0</v>
      </c>
      <c r="E10" s="2">
        <v>223.0</v>
      </c>
      <c r="F10" s="2">
        <f t="shared" si="1"/>
        <v>1</v>
      </c>
    </row>
    <row r="11">
      <c r="A11" s="2">
        <v>10.0</v>
      </c>
      <c r="B11" s="2" t="s">
        <v>15</v>
      </c>
      <c r="C11" s="3">
        <v>44147.0</v>
      </c>
      <c r="D11" s="2">
        <v>127.0</v>
      </c>
      <c r="E11" s="2">
        <v>424.0</v>
      </c>
      <c r="F11" s="2">
        <f t="shared" si="1"/>
        <v>1</v>
      </c>
    </row>
    <row r="12">
      <c r="A12" s="2">
        <v>11.0</v>
      </c>
      <c r="B12" s="2" t="s">
        <v>16</v>
      </c>
      <c r="C12" s="3">
        <v>44147.0</v>
      </c>
      <c r="F12" s="2">
        <f t="shared" si="1"/>
        <v>0</v>
      </c>
    </row>
    <row r="13">
      <c r="A13" s="2">
        <v>12.0</v>
      </c>
      <c r="B13" s="2" t="s">
        <v>17</v>
      </c>
      <c r="C13" s="3">
        <v>44147.0</v>
      </c>
      <c r="D13" s="2">
        <v>83.0</v>
      </c>
      <c r="E13" s="2">
        <v>300.0</v>
      </c>
      <c r="F13" s="2">
        <f t="shared" si="1"/>
        <v>1</v>
      </c>
    </row>
    <row r="14">
      <c r="A14" s="2">
        <v>13.0</v>
      </c>
      <c r="B14" s="2" t="s">
        <v>18</v>
      </c>
      <c r="C14" s="3">
        <v>44147.0</v>
      </c>
      <c r="D14" s="2">
        <v>27.0</v>
      </c>
      <c r="E14" s="2">
        <v>107.0</v>
      </c>
      <c r="F14" s="2">
        <f t="shared" si="1"/>
        <v>1</v>
      </c>
    </row>
    <row r="15">
      <c r="A15" s="2">
        <v>14.0</v>
      </c>
      <c r="B15" s="2" t="s">
        <v>19</v>
      </c>
      <c r="C15" s="3">
        <v>44147.0</v>
      </c>
      <c r="F15" s="2">
        <f t="shared" si="1"/>
        <v>0</v>
      </c>
    </row>
    <row r="16">
      <c r="A16" s="2">
        <v>15.0</v>
      </c>
      <c r="B16" s="2" t="s">
        <v>20</v>
      </c>
      <c r="C16" s="3">
        <v>44147.0</v>
      </c>
      <c r="D16" s="2">
        <v>30.0</v>
      </c>
      <c r="E16" s="2">
        <v>118.0</v>
      </c>
      <c r="F16" s="2">
        <f t="shared" si="1"/>
        <v>1</v>
      </c>
    </row>
    <row r="17">
      <c r="A17" s="2">
        <v>16.0</v>
      </c>
      <c r="B17" s="2" t="s">
        <v>21</v>
      </c>
      <c r="C17" s="3">
        <v>44147.0</v>
      </c>
      <c r="F17" s="2">
        <f t="shared" si="1"/>
        <v>0</v>
      </c>
    </row>
    <row r="18">
      <c r="A18" s="2">
        <v>17.0</v>
      </c>
      <c r="B18" s="2" t="s">
        <v>22</v>
      </c>
      <c r="C18" s="3">
        <v>44147.0</v>
      </c>
      <c r="F18" s="2">
        <f t="shared" si="1"/>
        <v>0</v>
      </c>
    </row>
    <row r="19">
      <c r="A19" s="2">
        <v>18.0</v>
      </c>
      <c r="B19" s="2" t="s">
        <v>23</v>
      </c>
      <c r="C19" s="3">
        <v>44147.0</v>
      </c>
      <c r="D19" s="2">
        <v>77.0</v>
      </c>
      <c r="E19" s="2">
        <v>266.0</v>
      </c>
      <c r="F19" s="2">
        <f t="shared" si="1"/>
        <v>1</v>
      </c>
    </row>
    <row r="20">
      <c r="A20" s="2">
        <v>19.0</v>
      </c>
      <c r="B20" s="2" t="s">
        <v>24</v>
      </c>
      <c r="C20" s="3">
        <v>44147.0</v>
      </c>
      <c r="F20" s="2">
        <f t="shared" si="1"/>
        <v>0</v>
      </c>
    </row>
    <row r="21">
      <c r="A21" s="2">
        <v>20.0</v>
      </c>
      <c r="B21" s="2" t="s">
        <v>25</v>
      </c>
      <c r="C21" s="3">
        <v>44147.0</v>
      </c>
      <c r="D21" s="2">
        <v>7.0</v>
      </c>
      <c r="E21" s="2">
        <v>28.0</v>
      </c>
      <c r="F21" s="2">
        <f t="shared" si="1"/>
        <v>1</v>
      </c>
    </row>
    <row r="22">
      <c r="A22" s="2">
        <v>21.0</v>
      </c>
      <c r="B22" s="2" t="s">
        <v>26</v>
      </c>
      <c r="C22" s="3">
        <v>44147.0</v>
      </c>
      <c r="D22" s="2">
        <v>7.0</v>
      </c>
      <c r="E22" s="2">
        <v>22.0</v>
      </c>
      <c r="F22" s="2">
        <f t="shared" si="1"/>
        <v>1</v>
      </c>
    </row>
    <row r="23">
      <c r="A23" s="2">
        <v>22.0</v>
      </c>
      <c r="B23" s="2" t="s">
        <v>27</v>
      </c>
      <c r="C23" s="3">
        <v>44147.0</v>
      </c>
      <c r="F23" s="2">
        <f t="shared" si="1"/>
        <v>0</v>
      </c>
    </row>
    <row r="24">
      <c r="A24" s="2">
        <v>23.0</v>
      </c>
      <c r="B24" s="2" t="s">
        <v>28</v>
      </c>
      <c r="C24" s="3">
        <v>44147.0</v>
      </c>
      <c r="D24" s="2">
        <v>14.0</v>
      </c>
      <c r="E24" s="2">
        <v>53.0</v>
      </c>
      <c r="F24" s="2">
        <f t="shared" si="1"/>
        <v>1</v>
      </c>
    </row>
    <row r="25">
      <c r="A25" s="2">
        <v>24.0</v>
      </c>
      <c r="B25" s="2" t="s">
        <v>29</v>
      </c>
      <c r="C25" s="3">
        <v>44147.0</v>
      </c>
      <c r="D25" s="2">
        <v>50.0</v>
      </c>
      <c r="E25" s="2">
        <v>195.0</v>
      </c>
      <c r="F25" s="2">
        <f t="shared" si="1"/>
        <v>1</v>
      </c>
    </row>
    <row r="26">
      <c r="A26" s="2">
        <v>25.0</v>
      </c>
      <c r="B26" s="2" t="s">
        <v>30</v>
      </c>
      <c r="C26" s="3">
        <v>44147.0</v>
      </c>
      <c r="D26" s="2">
        <v>69.0</v>
      </c>
      <c r="E26" s="2">
        <v>267.0</v>
      </c>
      <c r="F26" s="2">
        <f t="shared" si="1"/>
        <v>1</v>
      </c>
    </row>
    <row r="27">
      <c r="A27" s="2">
        <v>26.0</v>
      </c>
      <c r="B27" s="2" t="s">
        <v>31</v>
      </c>
      <c r="C27" s="3">
        <v>44147.0</v>
      </c>
      <c r="D27" s="2">
        <v>59.0</v>
      </c>
      <c r="E27" s="2">
        <v>148.0</v>
      </c>
      <c r="F27" s="2">
        <f t="shared" si="1"/>
        <v>1</v>
      </c>
    </row>
    <row r="28">
      <c r="A28" s="2">
        <v>27.0</v>
      </c>
      <c r="B28" s="2" t="s">
        <v>32</v>
      </c>
      <c r="C28" s="3">
        <v>44147.0</v>
      </c>
      <c r="D28" s="2">
        <v>14.0</v>
      </c>
      <c r="E28" s="2">
        <v>44.0</v>
      </c>
      <c r="F28" s="2">
        <f t="shared" si="1"/>
        <v>1</v>
      </c>
    </row>
    <row r="29">
      <c r="A29" s="2">
        <v>28.0</v>
      </c>
      <c r="B29" s="2" t="s">
        <v>33</v>
      </c>
      <c r="C29" s="3">
        <v>44147.0</v>
      </c>
      <c r="F29" s="2">
        <f t="shared" si="1"/>
        <v>0</v>
      </c>
    </row>
    <row r="30">
      <c r="A30" s="2">
        <v>29.0</v>
      </c>
      <c r="B30" s="2" t="s">
        <v>34</v>
      </c>
      <c r="C30" s="3">
        <v>44147.0</v>
      </c>
      <c r="D30" s="2">
        <v>15.0</v>
      </c>
      <c r="E30" s="2">
        <v>62.0</v>
      </c>
      <c r="F30" s="2">
        <f t="shared" si="1"/>
        <v>1</v>
      </c>
    </row>
    <row r="31">
      <c r="A31" s="2">
        <v>30.0</v>
      </c>
      <c r="B31" s="2" t="s">
        <v>35</v>
      </c>
      <c r="C31" s="3">
        <v>44147.0</v>
      </c>
      <c r="D31" s="2">
        <v>59.0</v>
      </c>
      <c r="E31" s="2">
        <v>213.0</v>
      </c>
      <c r="F31" s="2">
        <f t="shared" si="1"/>
        <v>1</v>
      </c>
    </row>
    <row r="32">
      <c r="A32" s="2">
        <v>31.0</v>
      </c>
      <c r="B32" s="2" t="s">
        <v>36</v>
      </c>
      <c r="C32" s="3">
        <v>44147.0</v>
      </c>
      <c r="F32" s="2">
        <f t="shared" ref="F32:F37" si="2">IF(OR(D31&gt;0, E32&gt;0), 1, 0)</f>
        <v>1</v>
      </c>
    </row>
    <row r="33">
      <c r="A33" s="2">
        <v>32.0</v>
      </c>
      <c r="B33" s="2" t="s">
        <v>37</v>
      </c>
      <c r="C33" s="3">
        <v>44147.0</v>
      </c>
      <c r="F33" s="2">
        <f t="shared" si="2"/>
        <v>0</v>
      </c>
    </row>
    <row r="34">
      <c r="A34" s="2">
        <v>33.0</v>
      </c>
      <c r="B34" s="2" t="s">
        <v>38</v>
      </c>
      <c r="C34" s="3">
        <v>44147.0</v>
      </c>
      <c r="D34" s="2">
        <v>51.0</v>
      </c>
      <c r="E34" s="2">
        <v>219.0</v>
      </c>
      <c r="F34" s="2">
        <f t="shared" si="2"/>
        <v>1</v>
      </c>
    </row>
    <row r="35">
      <c r="A35" s="2">
        <v>34.0</v>
      </c>
      <c r="B35" s="2" t="s">
        <v>39</v>
      </c>
      <c r="C35" s="3">
        <v>44147.0</v>
      </c>
      <c r="D35" s="2">
        <v>164.0</v>
      </c>
      <c r="E35" s="2">
        <v>604.0</v>
      </c>
      <c r="F35" s="2">
        <f t="shared" si="2"/>
        <v>1</v>
      </c>
    </row>
    <row r="36">
      <c r="A36" s="2">
        <v>35.0</v>
      </c>
      <c r="B36" s="2" t="s">
        <v>40</v>
      </c>
      <c r="C36" s="3">
        <v>44147.0</v>
      </c>
      <c r="D36" s="2">
        <v>52.0</v>
      </c>
      <c r="E36" s="2">
        <v>162.0</v>
      </c>
      <c r="F36" s="2">
        <f t="shared" si="2"/>
        <v>1</v>
      </c>
    </row>
    <row r="37">
      <c r="A37" s="2">
        <v>36.0</v>
      </c>
      <c r="B37" s="2" t="s">
        <v>41</v>
      </c>
      <c r="C37" s="3">
        <v>44147.0</v>
      </c>
      <c r="F37" s="2">
        <f t="shared" si="2"/>
        <v>1</v>
      </c>
    </row>
    <row r="38">
      <c r="A38" s="2">
        <v>37.0</v>
      </c>
      <c r="B38" s="2" t="s">
        <v>42</v>
      </c>
      <c r="C38" s="3">
        <v>44147.0</v>
      </c>
      <c r="D38" s="2">
        <v>170.0</v>
      </c>
      <c r="E38" s="2">
        <v>609.0</v>
      </c>
      <c r="F38" s="2">
        <f t="shared" ref="F38:F39" si="3">IF(OR(D38&gt;0, E38&gt;0), 1, 0)</f>
        <v>1</v>
      </c>
    </row>
    <row r="39">
      <c r="A39" s="2">
        <v>38.0</v>
      </c>
      <c r="B39" s="2" t="s">
        <v>43</v>
      </c>
      <c r="C39" s="3">
        <v>44147.0</v>
      </c>
      <c r="F39" s="2">
        <f t="shared" si="3"/>
        <v>0</v>
      </c>
    </row>
    <row r="40">
      <c r="A40" s="2">
        <v>39.0</v>
      </c>
      <c r="B40" s="2" t="s">
        <v>44</v>
      </c>
      <c r="C40" s="3">
        <v>44147.0</v>
      </c>
      <c r="F40" s="2">
        <f>IF(OR(D41&gt;0, E40&gt;0), 1, 0)</f>
        <v>1</v>
      </c>
    </row>
    <row r="41">
      <c r="A41" s="2">
        <v>40.0</v>
      </c>
      <c r="B41" s="2" t="s">
        <v>45</v>
      </c>
      <c r="C41" s="3">
        <v>44147.0</v>
      </c>
      <c r="D41" s="2">
        <v>17.0</v>
      </c>
      <c r="E41" s="2">
        <v>75.0</v>
      </c>
      <c r="F41" s="2">
        <f t="shared" ref="F41:F45" si="4">IF(OR(D41&gt;0, E41&gt;0), 1, 0)</f>
        <v>1</v>
      </c>
    </row>
    <row r="42">
      <c r="A42" s="2">
        <v>41.0</v>
      </c>
      <c r="B42" s="2" t="s">
        <v>46</v>
      </c>
      <c r="C42" s="3">
        <v>44147.0</v>
      </c>
      <c r="F42" s="2">
        <f t="shared" si="4"/>
        <v>0</v>
      </c>
    </row>
    <row r="43">
      <c r="A43" s="2">
        <v>42.0</v>
      </c>
      <c r="B43" s="2" t="s">
        <v>47</v>
      </c>
      <c r="C43" s="3">
        <v>44147.0</v>
      </c>
      <c r="F43" s="2">
        <f t="shared" si="4"/>
        <v>0</v>
      </c>
    </row>
    <row r="44">
      <c r="A44" s="2">
        <v>43.0</v>
      </c>
      <c r="B44" s="2" t="s">
        <v>48</v>
      </c>
      <c r="C44" s="3">
        <v>44147.0</v>
      </c>
      <c r="D44" s="2">
        <v>59.0</v>
      </c>
      <c r="E44" s="2">
        <v>192.0</v>
      </c>
      <c r="F44" s="2">
        <f t="shared" si="4"/>
        <v>1</v>
      </c>
    </row>
    <row r="45">
      <c r="A45" s="2">
        <v>44.0</v>
      </c>
      <c r="B45" s="2" t="s">
        <v>49</v>
      </c>
      <c r="C45" s="3">
        <v>44147.0</v>
      </c>
      <c r="D45" s="2">
        <v>60.0</v>
      </c>
      <c r="E45" s="2">
        <v>210.0</v>
      </c>
      <c r="F45" s="2">
        <f t="shared" si="4"/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44147.0</v>
      </c>
      <c r="D2" s="2">
        <v>10.0</v>
      </c>
      <c r="E2" s="2">
        <v>45.0</v>
      </c>
      <c r="F2" s="2">
        <f t="shared" ref="F2:F31" si="1">IF(OR(D2&gt;0, E2&gt;0), 1, 0)</f>
        <v>1</v>
      </c>
    </row>
    <row r="3">
      <c r="A3" s="2">
        <v>2.0</v>
      </c>
      <c r="B3" s="2" t="s">
        <v>7</v>
      </c>
      <c r="C3" s="3">
        <v>44147.0</v>
      </c>
      <c r="D3" s="5">
        <f>6+4+8+10</f>
        <v>28</v>
      </c>
      <c r="E3" s="5">
        <f>81+14+58+47</f>
        <v>200</v>
      </c>
      <c r="F3" s="2">
        <f t="shared" si="1"/>
        <v>1</v>
      </c>
    </row>
    <row r="4">
      <c r="A4" s="2">
        <v>3.0</v>
      </c>
      <c r="B4" s="2" t="s">
        <v>8</v>
      </c>
      <c r="C4" s="3">
        <v>44147.0</v>
      </c>
      <c r="D4" s="2">
        <v>3.0</v>
      </c>
      <c r="E4" s="2">
        <v>16.0</v>
      </c>
      <c r="F4" s="2">
        <f t="shared" si="1"/>
        <v>1</v>
      </c>
    </row>
    <row r="5">
      <c r="A5" s="2">
        <v>4.0</v>
      </c>
      <c r="B5" s="2" t="s">
        <v>9</v>
      </c>
      <c r="C5" s="3">
        <v>44147.0</v>
      </c>
      <c r="D5" s="2">
        <f>19+31</f>
        <v>50</v>
      </c>
      <c r="E5" s="2">
        <v>57.0</v>
      </c>
      <c r="F5" s="2">
        <f t="shared" si="1"/>
        <v>1</v>
      </c>
    </row>
    <row r="6">
      <c r="A6" s="2">
        <v>5.0</v>
      </c>
      <c r="B6" s="2" t="s">
        <v>10</v>
      </c>
      <c r="C6" s="3">
        <v>44147.0</v>
      </c>
      <c r="F6" s="2">
        <f t="shared" si="1"/>
        <v>0</v>
      </c>
    </row>
    <row r="7">
      <c r="A7" s="2">
        <v>6.0</v>
      </c>
      <c r="B7" s="2" t="s">
        <v>11</v>
      </c>
      <c r="C7" s="3">
        <v>44147.0</v>
      </c>
      <c r="D7" s="2">
        <v>9.0</v>
      </c>
      <c r="E7" s="5">
        <f>39+42</f>
        <v>81</v>
      </c>
      <c r="F7" s="2">
        <f t="shared" si="1"/>
        <v>1</v>
      </c>
    </row>
    <row r="8">
      <c r="A8" s="2">
        <v>7.0</v>
      </c>
      <c r="B8" s="2" t="s">
        <v>12</v>
      </c>
      <c r="C8" s="3">
        <v>44147.0</v>
      </c>
      <c r="D8" s="2">
        <f>9+50</f>
        <v>59</v>
      </c>
      <c r="E8" s="2">
        <v>28.0</v>
      </c>
      <c r="F8" s="2">
        <f t="shared" si="1"/>
        <v>1</v>
      </c>
    </row>
    <row r="9">
      <c r="A9" s="2">
        <v>8.0</v>
      </c>
      <c r="B9" s="2" t="s">
        <v>13</v>
      </c>
      <c r="C9" s="3">
        <v>44147.0</v>
      </c>
      <c r="D9" s="2">
        <v>32.0</v>
      </c>
      <c r="E9" s="2">
        <v>97.0</v>
      </c>
      <c r="F9" s="2">
        <f t="shared" si="1"/>
        <v>1</v>
      </c>
    </row>
    <row r="10">
      <c r="A10" s="2">
        <v>9.0</v>
      </c>
      <c r="B10" s="2" t="s">
        <v>14</v>
      </c>
      <c r="C10" s="3">
        <v>44147.0</v>
      </c>
      <c r="D10" s="2">
        <v>74.0</v>
      </c>
      <c r="E10" s="2">
        <v>205.0</v>
      </c>
      <c r="F10" s="2">
        <f t="shared" si="1"/>
        <v>1</v>
      </c>
    </row>
    <row r="11">
      <c r="A11" s="2">
        <v>10.0</v>
      </c>
      <c r="B11" s="2" t="s">
        <v>15</v>
      </c>
      <c r="C11" s="3">
        <v>44147.0</v>
      </c>
      <c r="D11" s="5">
        <f>24+48</f>
        <v>72</v>
      </c>
      <c r="E11" s="2">
        <f>81+175</f>
        <v>256</v>
      </c>
      <c r="F11" s="2">
        <f t="shared" si="1"/>
        <v>1</v>
      </c>
    </row>
    <row r="12">
      <c r="A12" s="2">
        <v>11.0</v>
      </c>
      <c r="B12" s="2" t="s">
        <v>16</v>
      </c>
      <c r="C12" s="3">
        <v>44147.0</v>
      </c>
      <c r="F12" s="2">
        <f t="shared" si="1"/>
        <v>0</v>
      </c>
    </row>
    <row r="13">
      <c r="A13" s="2">
        <v>12.0</v>
      </c>
      <c r="B13" s="2" t="s">
        <v>17</v>
      </c>
      <c r="C13" s="3">
        <v>44147.0</v>
      </c>
      <c r="D13" s="2">
        <v>90.0</v>
      </c>
      <c r="E13" s="2">
        <v>262.0</v>
      </c>
      <c r="F13" s="2">
        <f t="shared" si="1"/>
        <v>1</v>
      </c>
    </row>
    <row r="14">
      <c r="A14" s="2">
        <v>13.0</v>
      </c>
      <c r="B14" s="2" t="s">
        <v>18</v>
      </c>
      <c r="C14" s="3">
        <v>44147.0</v>
      </c>
      <c r="D14" s="2">
        <v>13.0</v>
      </c>
      <c r="E14" s="2">
        <v>39.0</v>
      </c>
      <c r="F14" s="2">
        <f t="shared" si="1"/>
        <v>1</v>
      </c>
    </row>
    <row r="15">
      <c r="A15" s="2">
        <v>14.0</v>
      </c>
      <c r="B15" s="2" t="s">
        <v>19</v>
      </c>
      <c r="C15" s="3">
        <v>44147.0</v>
      </c>
      <c r="F15" s="2">
        <f t="shared" si="1"/>
        <v>0</v>
      </c>
    </row>
    <row r="16">
      <c r="A16" s="2">
        <v>15.0</v>
      </c>
      <c r="B16" s="2" t="s">
        <v>20</v>
      </c>
      <c r="C16" s="3">
        <v>44147.0</v>
      </c>
      <c r="D16" s="2">
        <v>40.0</v>
      </c>
      <c r="E16" s="2">
        <v>120.0</v>
      </c>
      <c r="F16" s="2">
        <f t="shared" si="1"/>
        <v>1</v>
      </c>
    </row>
    <row r="17">
      <c r="A17" s="2">
        <v>16.0</v>
      </c>
      <c r="B17" s="2" t="s">
        <v>21</v>
      </c>
      <c r="C17" s="3">
        <v>44147.0</v>
      </c>
      <c r="D17" s="5">
        <f>14+23</f>
        <v>37</v>
      </c>
      <c r="E17" s="5">
        <f>33+69</f>
        <v>102</v>
      </c>
      <c r="F17" s="2">
        <f t="shared" si="1"/>
        <v>1</v>
      </c>
    </row>
    <row r="18">
      <c r="A18" s="2">
        <v>17.0</v>
      </c>
      <c r="B18" s="2" t="s">
        <v>22</v>
      </c>
      <c r="C18" s="3">
        <v>44147.0</v>
      </c>
      <c r="F18" s="2">
        <f t="shared" si="1"/>
        <v>0</v>
      </c>
    </row>
    <row r="19">
      <c r="A19" s="2">
        <v>18.0</v>
      </c>
      <c r="B19" s="2" t="s">
        <v>23</v>
      </c>
      <c r="C19" s="3">
        <v>44147.0</v>
      </c>
      <c r="D19" s="5">
        <f>13+38</f>
        <v>51</v>
      </c>
      <c r="E19" s="5">
        <f>39+114</f>
        <v>153</v>
      </c>
      <c r="F19" s="2">
        <f t="shared" si="1"/>
        <v>1</v>
      </c>
    </row>
    <row r="20">
      <c r="A20" s="2">
        <v>19.0</v>
      </c>
      <c r="B20" s="2" t="s">
        <v>24</v>
      </c>
      <c r="C20" s="3">
        <v>44147.0</v>
      </c>
      <c r="F20" s="2">
        <f t="shared" si="1"/>
        <v>0</v>
      </c>
    </row>
    <row r="21">
      <c r="A21" s="2">
        <v>20.0</v>
      </c>
      <c r="B21" s="2" t="s">
        <v>25</v>
      </c>
      <c r="C21" s="3">
        <v>44147.0</v>
      </c>
      <c r="F21" s="2">
        <f t="shared" si="1"/>
        <v>0</v>
      </c>
    </row>
    <row r="22">
      <c r="A22" s="2">
        <v>21.0</v>
      </c>
      <c r="B22" s="2" t="s">
        <v>26</v>
      </c>
      <c r="C22" s="3">
        <v>44147.0</v>
      </c>
      <c r="F22" s="2">
        <f t="shared" si="1"/>
        <v>0</v>
      </c>
    </row>
    <row r="23">
      <c r="A23" s="2">
        <v>22.0</v>
      </c>
      <c r="B23" s="2" t="s">
        <v>27</v>
      </c>
      <c r="C23" s="3">
        <v>44147.0</v>
      </c>
      <c r="F23" s="2">
        <f t="shared" si="1"/>
        <v>0</v>
      </c>
    </row>
    <row r="24">
      <c r="A24" s="2">
        <v>23.0</v>
      </c>
      <c r="B24" s="2" t="s">
        <v>28</v>
      </c>
      <c r="C24" s="3">
        <v>44147.0</v>
      </c>
      <c r="D24" s="2">
        <v>10.0</v>
      </c>
      <c r="E24" s="2">
        <v>30.0</v>
      </c>
      <c r="F24" s="2">
        <f t="shared" si="1"/>
        <v>1</v>
      </c>
    </row>
    <row r="25">
      <c r="A25" s="2">
        <v>24.0</v>
      </c>
      <c r="B25" s="2" t="s">
        <v>29</v>
      </c>
      <c r="C25" s="3">
        <v>44147.0</v>
      </c>
      <c r="F25" s="2">
        <f t="shared" si="1"/>
        <v>0</v>
      </c>
    </row>
    <row r="26">
      <c r="A26" s="2">
        <v>25.0</v>
      </c>
      <c r="B26" s="2" t="s">
        <v>30</v>
      </c>
      <c r="C26" s="3">
        <v>44147.0</v>
      </c>
      <c r="D26" s="5">
        <f>16+21</f>
        <v>37</v>
      </c>
      <c r="E26" s="5">
        <f>48+69</f>
        <v>117</v>
      </c>
      <c r="F26" s="2">
        <f t="shared" si="1"/>
        <v>1</v>
      </c>
    </row>
    <row r="27">
      <c r="A27" s="2">
        <v>26.0</v>
      </c>
      <c r="B27" s="2" t="s">
        <v>31</v>
      </c>
      <c r="C27" s="3">
        <v>44147.0</v>
      </c>
      <c r="D27" s="5">
        <f>46+65</f>
        <v>111</v>
      </c>
      <c r="E27" s="5">
        <f>138+195</f>
        <v>333</v>
      </c>
      <c r="F27" s="2">
        <f t="shared" si="1"/>
        <v>1</v>
      </c>
    </row>
    <row r="28">
      <c r="A28" s="2">
        <v>27.0</v>
      </c>
      <c r="B28" s="2" t="s">
        <v>32</v>
      </c>
      <c r="C28" s="3">
        <v>44147.0</v>
      </c>
      <c r="D28" s="2" t="s">
        <v>50</v>
      </c>
      <c r="E28" s="2" t="s">
        <v>50</v>
      </c>
      <c r="F28" s="2">
        <f t="shared" si="1"/>
        <v>1</v>
      </c>
    </row>
    <row r="29">
      <c r="A29" s="2">
        <v>28.0</v>
      </c>
      <c r="B29" s="2" t="s">
        <v>33</v>
      </c>
      <c r="C29" s="3">
        <v>44147.0</v>
      </c>
      <c r="D29" s="2">
        <v>13.0</v>
      </c>
      <c r="E29" s="2">
        <v>39.0</v>
      </c>
      <c r="F29" s="2">
        <f t="shared" si="1"/>
        <v>1</v>
      </c>
    </row>
    <row r="30">
      <c r="A30" s="2">
        <v>29.0</v>
      </c>
      <c r="B30" s="2" t="s">
        <v>34</v>
      </c>
      <c r="C30" s="3">
        <v>44147.0</v>
      </c>
      <c r="D30" s="5">
        <f>21+19</f>
        <v>40</v>
      </c>
      <c r="E30" s="5">
        <f>63+57</f>
        <v>120</v>
      </c>
      <c r="F30" s="2">
        <f t="shared" si="1"/>
        <v>1</v>
      </c>
    </row>
    <row r="31">
      <c r="A31" s="2">
        <v>30.0</v>
      </c>
      <c r="B31" s="2" t="s">
        <v>35</v>
      </c>
      <c r="C31" s="3">
        <v>44147.0</v>
      </c>
      <c r="D31" s="5">
        <f>17+11+17+46</f>
        <v>91</v>
      </c>
      <c r="E31" s="5">
        <f>58+78+38+107</f>
        <v>281</v>
      </c>
      <c r="F31" s="2">
        <f t="shared" si="1"/>
        <v>1</v>
      </c>
    </row>
    <row r="32">
      <c r="A32" s="2">
        <v>31.0</v>
      </c>
      <c r="B32" s="2" t="s">
        <v>36</v>
      </c>
      <c r="C32" s="3">
        <v>44147.0</v>
      </c>
      <c r="D32" s="5">
        <f>17+50</f>
        <v>67</v>
      </c>
      <c r="E32" s="2">
        <f>30+150</f>
        <v>180</v>
      </c>
      <c r="F32" s="2">
        <f t="shared" ref="F32:F37" si="2">IF(OR(D31&gt;0, E32&gt;0), 1, 0)</f>
        <v>1</v>
      </c>
    </row>
    <row r="33">
      <c r="A33" s="2">
        <v>32.0</v>
      </c>
      <c r="B33" s="2" t="s">
        <v>37</v>
      </c>
      <c r="C33" s="3">
        <v>44147.0</v>
      </c>
      <c r="F33" s="2">
        <f t="shared" si="2"/>
        <v>1</v>
      </c>
    </row>
    <row r="34">
      <c r="A34" s="2">
        <v>33.0</v>
      </c>
      <c r="B34" s="2" t="s">
        <v>38</v>
      </c>
      <c r="C34" s="3">
        <v>44147.0</v>
      </c>
      <c r="D34" s="5">
        <f>4+4</f>
        <v>8</v>
      </c>
      <c r="E34" s="5">
        <f>16+14</f>
        <v>30</v>
      </c>
      <c r="F34" s="2">
        <f t="shared" si="2"/>
        <v>1</v>
      </c>
    </row>
    <row r="35">
      <c r="A35" s="2">
        <v>34.0</v>
      </c>
      <c r="B35" s="2" t="s">
        <v>39</v>
      </c>
      <c r="C35" s="3">
        <v>44147.0</v>
      </c>
      <c r="D35" s="5">
        <f>16+4+12+8</f>
        <v>40</v>
      </c>
      <c r="E35" s="5">
        <f>62+13+24+36</f>
        <v>135</v>
      </c>
      <c r="F35" s="2">
        <f t="shared" si="2"/>
        <v>1</v>
      </c>
    </row>
    <row r="36">
      <c r="A36" s="2">
        <v>35.0</v>
      </c>
      <c r="B36" s="2" t="s">
        <v>40</v>
      </c>
      <c r="C36" s="3">
        <v>44147.0</v>
      </c>
      <c r="D36" s="5">
        <f>28+10+12+16+30+5</f>
        <v>101</v>
      </c>
      <c r="E36" s="5">
        <f>84+30+36+48+90+15</f>
        <v>303</v>
      </c>
      <c r="F36" s="2">
        <f t="shared" si="2"/>
        <v>1</v>
      </c>
    </row>
    <row r="37">
      <c r="A37" s="2">
        <v>36.0</v>
      </c>
      <c r="B37" s="2" t="s">
        <v>41</v>
      </c>
      <c r="C37" s="3">
        <v>44147.0</v>
      </c>
      <c r="F37" s="2">
        <f t="shared" si="2"/>
        <v>1</v>
      </c>
    </row>
    <row r="38">
      <c r="A38" s="2">
        <v>37.0</v>
      </c>
      <c r="B38" s="2" t="s">
        <v>42</v>
      </c>
      <c r="C38" s="3">
        <v>44147.0</v>
      </c>
      <c r="D38" s="2">
        <v>143.0</v>
      </c>
      <c r="E38" s="2">
        <v>429.0</v>
      </c>
      <c r="F38" s="2">
        <f t="shared" ref="F38:F39" si="3">IF(OR(D38&gt;0, E38&gt;0), 1, 0)</f>
        <v>1</v>
      </c>
    </row>
    <row r="39">
      <c r="A39" s="2">
        <v>38.0</v>
      </c>
      <c r="B39" s="2" t="s">
        <v>43</v>
      </c>
      <c r="C39" s="3">
        <v>44147.0</v>
      </c>
      <c r="E39" s="2">
        <v>0.0</v>
      </c>
      <c r="F39" s="2">
        <f t="shared" si="3"/>
        <v>0</v>
      </c>
    </row>
    <row r="40">
      <c r="A40" s="2">
        <v>39.0</v>
      </c>
      <c r="B40" s="2" t="s">
        <v>44</v>
      </c>
      <c r="C40" s="3">
        <v>44147.0</v>
      </c>
      <c r="F40" s="2">
        <f>IF(OR(D41&gt;0, E40&gt;0), 1, 0)</f>
        <v>1</v>
      </c>
    </row>
    <row r="41">
      <c r="A41" s="2">
        <v>40.0</v>
      </c>
      <c r="B41" s="2" t="s">
        <v>45</v>
      </c>
      <c r="C41" s="3">
        <v>44147.0</v>
      </c>
      <c r="D41" s="2">
        <v>26.0</v>
      </c>
      <c r="E41" s="2">
        <v>58.0</v>
      </c>
      <c r="F41" s="2">
        <f t="shared" ref="F41:F45" si="4">IF(OR(D41&gt;0, E41&gt;0), 1, 0)</f>
        <v>1</v>
      </c>
    </row>
    <row r="42">
      <c r="A42" s="2">
        <v>41.0</v>
      </c>
      <c r="B42" s="2" t="s">
        <v>46</v>
      </c>
      <c r="C42" s="3">
        <v>44147.0</v>
      </c>
      <c r="F42" s="2">
        <f t="shared" si="4"/>
        <v>0</v>
      </c>
    </row>
    <row r="43">
      <c r="A43" s="2">
        <v>42.0</v>
      </c>
      <c r="B43" s="2" t="s">
        <v>47</v>
      </c>
      <c r="C43" s="3">
        <v>44147.0</v>
      </c>
      <c r="D43" s="2">
        <v>40.0</v>
      </c>
      <c r="E43" s="2">
        <v>120.0</v>
      </c>
      <c r="F43" s="2">
        <f t="shared" si="4"/>
        <v>1</v>
      </c>
    </row>
    <row r="44">
      <c r="A44" s="2">
        <v>43.0</v>
      </c>
      <c r="B44" s="2" t="s">
        <v>48</v>
      </c>
      <c r="C44" s="3">
        <v>44147.0</v>
      </c>
      <c r="D44" s="2">
        <f>40+18</f>
        <v>58</v>
      </c>
      <c r="E44" s="5">
        <f>114+51</f>
        <v>165</v>
      </c>
      <c r="F44" s="2">
        <f t="shared" si="4"/>
        <v>1</v>
      </c>
    </row>
    <row r="45">
      <c r="A45" s="2">
        <v>44.0</v>
      </c>
      <c r="B45" s="2" t="s">
        <v>49</v>
      </c>
      <c r="C45" s="3">
        <v>44147.0</v>
      </c>
      <c r="D45" s="2">
        <v>47.0</v>
      </c>
      <c r="E45" s="2">
        <v>129.0</v>
      </c>
      <c r="F45" s="2">
        <f t="shared" si="4"/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45548.0</v>
      </c>
      <c r="D2" s="2">
        <v>0.0</v>
      </c>
      <c r="E2" s="2">
        <v>0.0</v>
      </c>
      <c r="F2" s="2">
        <f t="shared" ref="F2:F45" si="1">IF(OR(D2&gt;0, E2&gt;0), 1, 0)</f>
        <v>0</v>
      </c>
    </row>
    <row r="3">
      <c r="A3" s="2">
        <v>2.0</v>
      </c>
      <c r="B3" s="2" t="s">
        <v>7</v>
      </c>
      <c r="C3" s="3">
        <v>45548.0</v>
      </c>
      <c r="D3" s="2">
        <v>0.0</v>
      </c>
      <c r="E3" s="2">
        <v>0.0</v>
      </c>
      <c r="F3" s="2">
        <f t="shared" si="1"/>
        <v>0</v>
      </c>
    </row>
    <row r="4">
      <c r="A4" s="2">
        <v>3.0</v>
      </c>
      <c r="B4" s="2" t="s">
        <v>8</v>
      </c>
      <c r="C4" s="3">
        <v>45548.0</v>
      </c>
      <c r="D4" s="2">
        <v>0.0</v>
      </c>
      <c r="E4" s="2">
        <v>0.0</v>
      </c>
      <c r="F4" s="2">
        <f t="shared" si="1"/>
        <v>0</v>
      </c>
    </row>
    <row r="5">
      <c r="A5" s="2">
        <v>4.0</v>
      </c>
      <c r="B5" s="2" t="s">
        <v>9</v>
      </c>
      <c r="C5" s="3">
        <v>45548.0</v>
      </c>
      <c r="D5" s="2">
        <v>0.0</v>
      </c>
      <c r="E5" s="2">
        <v>0.0</v>
      </c>
      <c r="F5" s="2">
        <f t="shared" si="1"/>
        <v>0</v>
      </c>
    </row>
    <row r="6">
      <c r="A6" s="2">
        <v>5.0</v>
      </c>
      <c r="B6" s="2" t="s">
        <v>10</v>
      </c>
      <c r="C6" s="3">
        <v>45548.0</v>
      </c>
      <c r="D6" s="2">
        <v>0.0</v>
      </c>
      <c r="E6" s="2">
        <v>0.0</v>
      </c>
      <c r="F6" s="2">
        <f t="shared" si="1"/>
        <v>0</v>
      </c>
    </row>
    <row r="7">
      <c r="A7" s="2">
        <v>6.0</v>
      </c>
      <c r="B7" s="2" t="s">
        <v>11</v>
      </c>
      <c r="C7" s="3">
        <v>45548.0</v>
      </c>
      <c r="D7" s="2">
        <v>0.0</v>
      </c>
      <c r="E7" s="2">
        <v>0.0</v>
      </c>
      <c r="F7" s="2">
        <f t="shared" si="1"/>
        <v>0</v>
      </c>
    </row>
    <row r="8">
      <c r="A8" s="2">
        <v>7.0</v>
      </c>
      <c r="B8" s="2" t="s">
        <v>12</v>
      </c>
      <c r="C8" s="3">
        <v>45548.0</v>
      </c>
      <c r="D8" s="2">
        <v>0.0</v>
      </c>
      <c r="E8" s="2">
        <v>0.0</v>
      </c>
      <c r="F8" s="2">
        <f t="shared" si="1"/>
        <v>0</v>
      </c>
    </row>
    <row r="9">
      <c r="A9" s="2">
        <v>8.0</v>
      </c>
      <c r="B9" s="2" t="s">
        <v>13</v>
      </c>
      <c r="C9" s="3">
        <v>45548.0</v>
      </c>
      <c r="D9" s="2">
        <v>0.0</v>
      </c>
      <c r="E9" s="2">
        <v>0.0</v>
      </c>
      <c r="F9" s="2">
        <f t="shared" si="1"/>
        <v>0</v>
      </c>
    </row>
    <row r="10">
      <c r="A10" s="2">
        <v>9.0</v>
      </c>
      <c r="B10" s="2" t="s">
        <v>14</v>
      </c>
      <c r="C10" s="3">
        <v>45548.0</v>
      </c>
      <c r="D10" s="2">
        <v>0.0</v>
      </c>
      <c r="E10" s="2">
        <v>0.0</v>
      </c>
      <c r="F10" s="2">
        <f t="shared" si="1"/>
        <v>0</v>
      </c>
    </row>
    <row r="11">
      <c r="A11" s="2">
        <v>10.0</v>
      </c>
      <c r="B11" s="2" t="s">
        <v>15</v>
      </c>
      <c r="C11" s="3">
        <v>45548.0</v>
      </c>
      <c r="D11" s="2">
        <v>0.0</v>
      </c>
      <c r="E11" s="2">
        <v>0.0</v>
      </c>
      <c r="F11" s="2">
        <f t="shared" si="1"/>
        <v>0</v>
      </c>
    </row>
    <row r="12">
      <c r="A12" s="2">
        <v>11.0</v>
      </c>
      <c r="B12" s="2" t="s">
        <v>16</v>
      </c>
      <c r="C12" s="3">
        <v>45548.0</v>
      </c>
      <c r="D12" s="2">
        <v>0.0</v>
      </c>
      <c r="E12" s="2">
        <v>0.0</v>
      </c>
      <c r="F12" s="2">
        <f t="shared" si="1"/>
        <v>0</v>
      </c>
    </row>
    <row r="13">
      <c r="A13" s="2">
        <v>12.0</v>
      </c>
      <c r="B13" s="2" t="s">
        <v>17</v>
      </c>
      <c r="C13" s="3">
        <v>45548.0</v>
      </c>
      <c r="D13" s="2">
        <v>0.0</v>
      </c>
      <c r="E13" s="2">
        <v>0.0</v>
      </c>
      <c r="F13" s="2">
        <f t="shared" si="1"/>
        <v>0</v>
      </c>
    </row>
    <row r="14">
      <c r="A14" s="2">
        <v>13.0</v>
      </c>
      <c r="B14" s="2" t="s">
        <v>18</v>
      </c>
      <c r="C14" s="3">
        <v>45548.0</v>
      </c>
      <c r="D14" s="2">
        <v>0.0</v>
      </c>
      <c r="E14" s="2">
        <v>0.0</v>
      </c>
      <c r="F14" s="2">
        <f t="shared" si="1"/>
        <v>0</v>
      </c>
    </row>
    <row r="15">
      <c r="A15" s="2">
        <v>14.0</v>
      </c>
      <c r="B15" s="2" t="s">
        <v>19</v>
      </c>
      <c r="C15" s="3">
        <v>45548.0</v>
      </c>
      <c r="D15" s="2">
        <v>0.0</v>
      </c>
      <c r="E15" s="2">
        <v>0.0</v>
      </c>
      <c r="F15" s="2">
        <f t="shared" si="1"/>
        <v>0</v>
      </c>
    </row>
    <row r="16">
      <c r="A16" s="2">
        <v>15.0</v>
      </c>
      <c r="B16" s="2" t="s">
        <v>20</v>
      </c>
      <c r="C16" s="3">
        <v>45548.0</v>
      </c>
      <c r="D16" s="2">
        <v>0.0</v>
      </c>
      <c r="E16" s="2">
        <v>0.0</v>
      </c>
      <c r="F16" s="2">
        <f t="shared" si="1"/>
        <v>0</v>
      </c>
    </row>
    <row r="17">
      <c r="A17" s="2">
        <v>16.0</v>
      </c>
      <c r="B17" s="2" t="s">
        <v>21</v>
      </c>
      <c r="C17" s="3">
        <v>45548.0</v>
      </c>
      <c r="D17" s="2">
        <v>0.0</v>
      </c>
      <c r="E17" s="2">
        <v>0.0</v>
      </c>
      <c r="F17" s="2">
        <f t="shared" si="1"/>
        <v>0</v>
      </c>
    </row>
    <row r="18">
      <c r="A18" s="2">
        <v>17.0</v>
      </c>
      <c r="B18" s="2" t="s">
        <v>22</v>
      </c>
      <c r="C18" s="3">
        <v>45548.0</v>
      </c>
      <c r="D18" s="2">
        <v>0.0</v>
      </c>
      <c r="E18" s="2">
        <v>0.0</v>
      </c>
      <c r="F18" s="2">
        <f t="shared" si="1"/>
        <v>0</v>
      </c>
    </row>
    <row r="19">
      <c r="A19" s="2">
        <v>18.0</v>
      </c>
      <c r="B19" s="2" t="s">
        <v>23</v>
      </c>
      <c r="C19" s="3">
        <v>45548.0</v>
      </c>
      <c r="D19" s="2">
        <v>22.0</v>
      </c>
      <c r="E19" s="2">
        <v>0.0</v>
      </c>
      <c r="F19" s="2">
        <f t="shared" si="1"/>
        <v>1</v>
      </c>
    </row>
    <row r="20">
      <c r="A20" s="2">
        <v>19.0</v>
      </c>
      <c r="B20" s="2" t="s">
        <v>24</v>
      </c>
      <c r="C20" s="3">
        <v>45548.0</v>
      </c>
      <c r="D20" s="2">
        <v>0.0</v>
      </c>
      <c r="E20" s="2">
        <v>0.0</v>
      </c>
      <c r="F20" s="2">
        <f t="shared" si="1"/>
        <v>0</v>
      </c>
    </row>
    <row r="21">
      <c r="A21" s="2">
        <v>20.0</v>
      </c>
      <c r="B21" s="2" t="s">
        <v>25</v>
      </c>
      <c r="C21" s="3">
        <v>45548.0</v>
      </c>
      <c r="D21" s="2">
        <v>0.0</v>
      </c>
      <c r="E21" s="2">
        <v>0.0</v>
      </c>
      <c r="F21" s="2">
        <f t="shared" si="1"/>
        <v>0</v>
      </c>
    </row>
    <row r="22">
      <c r="A22" s="2">
        <v>21.0</v>
      </c>
      <c r="B22" s="2" t="s">
        <v>26</v>
      </c>
      <c r="C22" s="3">
        <v>45548.0</v>
      </c>
      <c r="D22" s="2">
        <v>0.0</v>
      </c>
      <c r="E22" s="2">
        <v>0.0</v>
      </c>
      <c r="F22" s="2">
        <f t="shared" si="1"/>
        <v>0</v>
      </c>
    </row>
    <row r="23">
      <c r="A23" s="2">
        <v>22.0</v>
      </c>
      <c r="B23" s="2" t="s">
        <v>27</v>
      </c>
      <c r="C23" s="3">
        <v>45548.0</v>
      </c>
      <c r="D23" s="2">
        <v>0.0</v>
      </c>
      <c r="E23" s="2">
        <v>0.0</v>
      </c>
      <c r="F23" s="2">
        <f t="shared" si="1"/>
        <v>0</v>
      </c>
    </row>
    <row r="24">
      <c r="A24" s="2">
        <v>23.0</v>
      </c>
      <c r="B24" s="2" t="s">
        <v>28</v>
      </c>
      <c r="C24" s="3">
        <v>45548.0</v>
      </c>
      <c r="D24" s="2">
        <v>0.0</v>
      </c>
      <c r="E24" s="2">
        <v>0.0</v>
      </c>
      <c r="F24" s="2">
        <f t="shared" si="1"/>
        <v>0</v>
      </c>
    </row>
    <row r="25">
      <c r="A25" s="2">
        <v>24.0</v>
      </c>
      <c r="B25" s="2" t="s">
        <v>29</v>
      </c>
      <c r="C25" s="3">
        <v>45548.0</v>
      </c>
      <c r="D25" s="2">
        <v>0.0</v>
      </c>
      <c r="E25" s="2">
        <v>0.0</v>
      </c>
      <c r="F25" s="2">
        <f t="shared" si="1"/>
        <v>0</v>
      </c>
    </row>
    <row r="26">
      <c r="A26" s="2">
        <v>25.0</v>
      </c>
      <c r="B26" s="2" t="s">
        <v>30</v>
      </c>
      <c r="C26" s="3">
        <v>45548.0</v>
      </c>
      <c r="D26" s="2">
        <v>190.0</v>
      </c>
      <c r="E26" s="2">
        <v>0.0</v>
      </c>
      <c r="F26" s="2">
        <f t="shared" si="1"/>
        <v>1</v>
      </c>
    </row>
    <row r="27">
      <c r="A27" s="2">
        <v>26.0</v>
      </c>
      <c r="B27" s="2" t="s">
        <v>31</v>
      </c>
      <c r="C27" s="3">
        <v>45548.0</v>
      </c>
      <c r="D27" s="2">
        <v>0.0</v>
      </c>
      <c r="E27" s="2">
        <v>0.0</v>
      </c>
      <c r="F27" s="2">
        <f t="shared" si="1"/>
        <v>0</v>
      </c>
    </row>
    <row r="28">
      <c r="A28" s="2">
        <v>27.0</v>
      </c>
      <c r="B28" s="2" t="s">
        <v>32</v>
      </c>
      <c r="C28" s="3">
        <v>45548.0</v>
      </c>
      <c r="D28" s="2">
        <v>0.0</v>
      </c>
      <c r="E28" s="2">
        <v>0.0</v>
      </c>
      <c r="F28" s="2">
        <f t="shared" si="1"/>
        <v>0</v>
      </c>
    </row>
    <row r="29">
      <c r="A29" s="2">
        <v>28.0</v>
      </c>
      <c r="B29" s="2" t="s">
        <v>33</v>
      </c>
      <c r="C29" s="3">
        <v>45548.0</v>
      </c>
      <c r="D29" s="2">
        <v>0.0</v>
      </c>
      <c r="E29" s="2">
        <v>0.0</v>
      </c>
      <c r="F29" s="2">
        <f t="shared" si="1"/>
        <v>0</v>
      </c>
    </row>
    <row r="30">
      <c r="A30" s="2">
        <v>29.0</v>
      </c>
      <c r="B30" s="2" t="s">
        <v>34</v>
      </c>
      <c r="C30" s="3">
        <v>45548.0</v>
      </c>
      <c r="D30" s="2">
        <v>0.0</v>
      </c>
      <c r="E30" s="2">
        <v>0.0</v>
      </c>
      <c r="F30" s="2">
        <f t="shared" si="1"/>
        <v>0</v>
      </c>
    </row>
    <row r="31">
      <c r="A31" s="2">
        <v>30.0</v>
      </c>
      <c r="B31" s="2" t="s">
        <v>35</v>
      </c>
      <c r="C31" s="3">
        <v>45548.0</v>
      </c>
      <c r="D31" s="2">
        <v>0.0</v>
      </c>
      <c r="E31" s="2">
        <v>0.0</v>
      </c>
      <c r="F31" s="2">
        <f t="shared" si="1"/>
        <v>0</v>
      </c>
    </row>
    <row r="32">
      <c r="A32" s="2">
        <v>31.0</v>
      </c>
      <c r="B32" s="2" t="s">
        <v>36</v>
      </c>
      <c r="C32" s="3">
        <v>45548.0</v>
      </c>
      <c r="D32" s="2">
        <v>0.0</v>
      </c>
      <c r="E32" s="2">
        <v>0.0</v>
      </c>
      <c r="F32" s="2">
        <f t="shared" si="1"/>
        <v>0</v>
      </c>
    </row>
    <row r="33">
      <c r="A33" s="2">
        <v>32.0</v>
      </c>
      <c r="B33" s="2" t="s">
        <v>37</v>
      </c>
      <c r="C33" s="3">
        <v>45548.0</v>
      </c>
      <c r="D33" s="2">
        <v>0.0</v>
      </c>
      <c r="E33" s="2">
        <v>0.0</v>
      </c>
      <c r="F33" s="2">
        <f t="shared" si="1"/>
        <v>0</v>
      </c>
    </row>
    <row r="34">
      <c r="A34" s="2">
        <v>33.0</v>
      </c>
      <c r="B34" s="2" t="s">
        <v>38</v>
      </c>
      <c r="C34" s="3">
        <v>45548.0</v>
      </c>
      <c r="D34" s="2">
        <v>0.0</v>
      </c>
      <c r="E34" s="2">
        <v>0.0</v>
      </c>
      <c r="F34" s="2">
        <f t="shared" si="1"/>
        <v>0</v>
      </c>
    </row>
    <row r="35">
      <c r="A35" s="2">
        <v>34.0</v>
      </c>
      <c r="B35" s="2" t="s">
        <v>39</v>
      </c>
      <c r="C35" s="3">
        <v>45548.0</v>
      </c>
      <c r="D35" s="2">
        <v>0.0</v>
      </c>
      <c r="E35" s="2">
        <v>0.0</v>
      </c>
      <c r="F35" s="2">
        <f t="shared" si="1"/>
        <v>0</v>
      </c>
    </row>
    <row r="36">
      <c r="A36" s="2">
        <v>35.0</v>
      </c>
      <c r="B36" s="2" t="s">
        <v>40</v>
      </c>
      <c r="C36" s="3">
        <v>45548.0</v>
      </c>
      <c r="D36" s="2">
        <v>0.0</v>
      </c>
      <c r="E36" s="2">
        <v>0.0</v>
      </c>
      <c r="F36" s="2">
        <f t="shared" si="1"/>
        <v>0</v>
      </c>
    </row>
    <row r="37">
      <c r="A37" s="2">
        <v>36.0</v>
      </c>
      <c r="B37" s="2" t="s">
        <v>41</v>
      </c>
      <c r="C37" s="3">
        <v>45548.0</v>
      </c>
      <c r="D37" s="2">
        <v>0.0</v>
      </c>
      <c r="E37" s="2">
        <v>0.0</v>
      </c>
      <c r="F37" s="2">
        <f t="shared" si="1"/>
        <v>0</v>
      </c>
    </row>
    <row r="38">
      <c r="A38" s="2">
        <v>37.0</v>
      </c>
      <c r="B38" s="2" t="s">
        <v>42</v>
      </c>
      <c r="C38" s="3">
        <v>45548.0</v>
      </c>
      <c r="D38" s="2">
        <v>0.0</v>
      </c>
      <c r="E38" s="2">
        <v>0.0</v>
      </c>
      <c r="F38" s="2">
        <f t="shared" si="1"/>
        <v>0</v>
      </c>
    </row>
    <row r="39">
      <c r="A39" s="2">
        <v>38.0</v>
      </c>
      <c r="B39" s="2" t="s">
        <v>43</v>
      </c>
      <c r="C39" s="3">
        <v>45548.0</v>
      </c>
      <c r="D39" s="2">
        <v>0.0</v>
      </c>
      <c r="E39" s="2">
        <v>0.0</v>
      </c>
      <c r="F39" s="2">
        <f t="shared" si="1"/>
        <v>0</v>
      </c>
    </row>
    <row r="40">
      <c r="A40" s="2">
        <v>39.0</v>
      </c>
      <c r="B40" s="2" t="s">
        <v>44</v>
      </c>
      <c r="C40" s="3">
        <v>45548.0</v>
      </c>
      <c r="D40" s="2">
        <v>0.0</v>
      </c>
      <c r="E40" s="2">
        <v>0.0</v>
      </c>
      <c r="F40" s="2">
        <f t="shared" si="1"/>
        <v>0</v>
      </c>
    </row>
    <row r="41">
      <c r="A41" s="2">
        <v>40.0</v>
      </c>
      <c r="B41" s="2" t="s">
        <v>45</v>
      </c>
      <c r="C41" s="3">
        <v>45548.0</v>
      </c>
      <c r="D41" s="2">
        <v>0.0</v>
      </c>
      <c r="E41" s="2">
        <v>0.0</v>
      </c>
      <c r="F41" s="2">
        <f t="shared" si="1"/>
        <v>0</v>
      </c>
    </row>
    <row r="42">
      <c r="A42" s="2">
        <v>41.0</v>
      </c>
      <c r="B42" s="2" t="s">
        <v>46</v>
      </c>
      <c r="C42" s="3">
        <v>45548.0</v>
      </c>
      <c r="D42" s="2">
        <v>0.0</v>
      </c>
      <c r="E42" s="2">
        <v>0.0</v>
      </c>
      <c r="F42" s="2">
        <f t="shared" si="1"/>
        <v>0</v>
      </c>
    </row>
    <row r="43">
      <c r="A43" s="2">
        <v>42.0</v>
      </c>
      <c r="B43" s="2" t="s">
        <v>47</v>
      </c>
      <c r="C43" s="3">
        <v>45548.0</v>
      </c>
      <c r="D43" s="2">
        <v>0.0</v>
      </c>
      <c r="E43" s="2">
        <v>0.0</v>
      </c>
      <c r="F43" s="2">
        <f t="shared" si="1"/>
        <v>0</v>
      </c>
    </row>
    <row r="44">
      <c r="A44" s="2">
        <v>43.0</v>
      </c>
      <c r="B44" s="2" t="s">
        <v>48</v>
      </c>
      <c r="C44" s="3">
        <v>45548.0</v>
      </c>
      <c r="D44" s="2">
        <v>213.0</v>
      </c>
      <c r="E44" s="2">
        <v>0.0</v>
      </c>
      <c r="F44" s="2">
        <f t="shared" si="1"/>
        <v>1</v>
      </c>
    </row>
    <row r="45">
      <c r="A45" s="2">
        <v>44.0</v>
      </c>
      <c r="B45" s="2" t="s">
        <v>49</v>
      </c>
      <c r="C45" s="3">
        <v>45548.0</v>
      </c>
      <c r="D45" s="2">
        <v>0.0</v>
      </c>
      <c r="E45" s="2">
        <v>0.0</v>
      </c>
      <c r="F45" s="2">
        <f t="shared" si="1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45552.0</v>
      </c>
      <c r="D2" s="6">
        <v>0.0</v>
      </c>
      <c r="E2" s="2">
        <v>0.0</v>
      </c>
      <c r="F2" s="2">
        <f t="shared" ref="F2:F45" si="1">IF(OR(D2&gt;0, E2&gt;0), 1, 0)</f>
        <v>0</v>
      </c>
    </row>
    <row r="3">
      <c r="A3" s="2">
        <v>2.0</v>
      </c>
      <c r="B3" s="2" t="s">
        <v>7</v>
      </c>
      <c r="C3" s="3">
        <v>45552.0</v>
      </c>
      <c r="D3" s="6">
        <v>0.0</v>
      </c>
      <c r="E3" s="2">
        <v>0.0</v>
      </c>
      <c r="F3" s="2">
        <f t="shared" si="1"/>
        <v>0</v>
      </c>
    </row>
    <row r="4">
      <c r="A4" s="2">
        <v>3.0</v>
      </c>
      <c r="B4" s="2" t="s">
        <v>8</v>
      </c>
      <c r="C4" s="3">
        <v>45552.0</v>
      </c>
      <c r="D4" s="6">
        <v>0.0</v>
      </c>
      <c r="E4" s="2">
        <v>0.0</v>
      </c>
      <c r="F4" s="2">
        <f t="shared" si="1"/>
        <v>0</v>
      </c>
    </row>
    <row r="5">
      <c r="A5" s="2">
        <v>4.0</v>
      </c>
      <c r="B5" s="2" t="s">
        <v>9</v>
      </c>
      <c r="C5" s="3">
        <v>45552.0</v>
      </c>
      <c r="D5" s="6">
        <v>0.0</v>
      </c>
      <c r="E5" s="2">
        <v>0.0</v>
      </c>
      <c r="F5" s="2">
        <f t="shared" si="1"/>
        <v>0</v>
      </c>
    </row>
    <row r="6">
      <c r="A6" s="2">
        <v>5.0</v>
      </c>
      <c r="B6" s="2" t="s">
        <v>10</v>
      </c>
      <c r="C6" s="3">
        <v>45552.0</v>
      </c>
      <c r="D6" s="6">
        <v>0.0</v>
      </c>
      <c r="E6" s="2">
        <v>0.0</v>
      </c>
      <c r="F6" s="2">
        <f t="shared" si="1"/>
        <v>0</v>
      </c>
    </row>
    <row r="7">
      <c r="A7" s="2">
        <v>6.0</v>
      </c>
      <c r="B7" s="2" t="s">
        <v>11</v>
      </c>
      <c r="C7" s="3">
        <v>45552.0</v>
      </c>
      <c r="D7" s="6">
        <v>0.0</v>
      </c>
      <c r="E7" s="2">
        <v>0.0</v>
      </c>
      <c r="F7" s="2">
        <f t="shared" si="1"/>
        <v>0</v>
      </c>
    </row>
    <row r="8">
      <c r="A8" s="2">
        <v>7.0</v>
      </c>
      <c r="B8" s="2" t="s">
        <v>12</v>
      </c>
      <c r="C8" s="3">
        <v>45552.0</v>
      </c>
      <c r="D8" s="6">
        <v>0.0</v>
      </c>
      <c r="E8" s="2">
        <v>0.0</v>
      </c>
      <c r="F8" s="2">
        <f t="shared" si="1"/>
        <v>0</v>
      </c>
    </row>
    <row r="9">
      <c r="A9" s="2">
        <v>8.0</v>
      </c>
      <c r="B9" s="2" t="s">
        <v>13</v>
      </c>
      <c r="C9" s="3">
        <v>45552.0</v>
      </c>
      <c r="D9" s="6">
        <v>0.0</v>
      </c>
      <c r="E9" s="2">
        <v>0.0</v>
      </c>
      <c r="F9" s="2">
        <f t="shared" si="1"/>
        <v>0</v>
      </c>
    </row>
    <row r="10">
      <c r="A10" s="2">
        <v>9.0</v>
      </c>
      <c r="B10" s="2" t="s">
        <v>14</v>
      </c>
      <c r="C10" s="3">
        <v>45552.0</v>
      </c>
      <c r="D10" s="6">
        <v>0.0</v>
      </c>
      <c r="E10" s="2">
        <v>0.0</v>
      </c>
      <c r="F10" s="2">
        <f t="shared" si="1"/>
        <v>0</v>
      </c>
    </row>
    <row r="11">
      <c r="A11" s="2">
        <v>10.0</v>
      </c>
      <c r="B11" s="2" t="s">
        <v>15</v>
      </c>
      <c r="C11" s="3">
        <v>45552.0</v>
      </c>
      <c r="D11" s="6">
        <v>0.0</v>
      </c>
      <c r="E11" s="2">
        <v>0.0</v>
      </c>
      <c r="F11" s="2">
        <f t="shared" si="1"/>
        <v>0</v>
      </c>
    </row>
    <row r="12">
      <c r="A12" s="2">
        <v>11.0</v>
      </c>
      <c r="B12" s="2" t="s">
        <v>16</v>
      </c>
      <c r="C12" s="3">
        <v>45552.0</v>
      </c>
      <c r="D12" s="6">
        <v>0.0</v>
      </c>
      <c r="E12" s="2">
        <v>0.0</v>
      </c>
      <c r="F12" s="2">
        <f t="shared" si="1"/>
        <v>0</v>
      </c>
    </row>
    <row r="13">
      <c r="A13" s="2">
        <v>12.0</v>
      </c>
      <c r="B13" s="2" t="s">
        <v>17</v>
      </c>
      <c r="C13" s="3">
        <v>45552.0</v>
      </c>
      <c r="D13" s="6">
        <v>0.0</v>
      </c>
      <c r="E13" s="2">
        <v>0.0</v>
      </c>
      <c r="F13" s="2">
        <f t="shared" si="1"/>
        <v>0</v>
      </c>
    </row>
    <row r="14">
      <c r="A14" s="2">
        <v>13.0</v>
      </c>
      <c r="B14" s="2" t="s">
        <v>18</v>
      </c>
      <c r="C14" s="3">
        <v>45552.0</v>
      </c>
      <c r="D14" s="6">
        <v>0.0</v>
      </c>
      <c r="E14" s="2">
        <v>0.0</v>
      </c>
      <c r="F14" s="2">
        <f t="shared" si="1"/>
        <v>0</v>
      </c>
    </row>
    <row r="15">
      <c r="A15" s="2">
        <v>14.0</v>
      </c>
      <c r="B15" s="2" t="s">
        <v>19</v>
      </c>
      <c r="C15" s="3">
        <v>45552.0</v>
      </c>
      <c r="D15" s="6">
        <v>0.0</v>
      </c>
      <c r="E15" s="2">
        <v>0.0</v>
      </c>
      <c r="F15" s="2">
        <f t="shared" si="1"/>
        <v>0</v>
      </c>
    </row>
    <row r="16">
      <c r="A16" s="2">
        <v>15.0</v>
      </c>
      <c r="B16" s="2" t="s">
        <v>20</v>
      </c>
      <c r="C16" s="3">
        <v>45552.0</v>
      </c>
      <c r="D16" s="6">
        <v>0.0</v>
      </c>
      <c r="E16" s="2">
        <v>0.0</v>
      </c>
      <c r="F16" s="2">
        <f t="shared" si="1"/>
        <v>0</v>
      </c>
    </row>
    <row r="17">
      <c r="A17" s="2">
        <v>16.0</v>
      </c>
      <c r="B17" s="2" t="s">
        <v>21</v>
      </c>
      <c r="C17" s="3">
        <v>45552.0</v>
      </c>
      <c r="D17" s="6">
        <v>0.0</v>
      </c>
      <c r="E17" s="2">
        <v>0.0</v>
      </c>
      <c r="F17" s="2">
        <f t="shared" si="1"/>
        <v>0</v>
      </c>
    </row>
    <row r="18">
      <c r="A18" s="2">
        <v>17.0</v>
      </c>
      <c r="B18" s="2" t="s">
        <v>22</v>
      </c>
      <c r="C18" s="3">
        <v>45552.0</v>
      </c>
      <c r="D18" s="6">
        <v>0.0</v>
      </c>
      <c r="E18" s="2">
        <v>0.0</v>
      </c>
      <c r="F18" s="2">
        <f t="shared" si="1"/>
        <v>0</v>
      </c>
    </row>
    <row r="19">
      <c r="A19" s="2">
        <v>18.0</v>
      </c>
      <c r="B19" s="2" t="s">
        <v>23</v>
      </c>
      <c r="C19" s="3">
        <v>45552.0</v>
      </c>
      <c r="D19" s="7">
        <v>19.0</v>
      </c>
      <c r="E19" s="2">
        <v>0.0</v>
      </c>
      <c r="F19" s="2">
        <f t="shared" si="1"/>
        <v>1</v>
      </c>
    </row>
    <row r="20">
      <c r="A20" s="2">
        <v>19.0</v>
      </c>
      <c r="B20" s="2" t="s">
        <v>24</v>
      </c>
      <c r="C20" s="3">
        <v>45552.0</v>
      </c>
      <c r="D20" s="6">
        <v>0.0</v>
      </c>
      <c r="E20" s="2">
        <v>0.0</v>
      </c>
      <c r="F20" s="2">
        <f t="shared" si="1"/>
        <v>0</v>
      </c>
    </row>
    <row r="21">
      <c r="A21" s="2">
        <v>20.0</v>
      </c>
      <c r="B21" s="2" t="s">
        <v>25</v>
      </c>
      <c r="C21" s="3">
        <v>45552.0</v>
      </c>
      <c r="D21" s="6">
        <v>0.0</v>
      </c>
      <c r="E21" s="2">
        <v>0.0</v>
      </c>
      <c r="F21" s="2">
        <f t="shared" si="1"/>
        <v>0</v>
      </c>
    </row>
    <row r="22">
      <c r="A22" s="2">
        <v>21.0</v>
      </c>
      <c r="B22" s="2" t="s">
        <v>26</v>
      </c>
      <c r="C22" s="3">
        <v>45552.0</v>
      </c>
      <c r="D22" s="6">
        <v>0.0</v>
      </c>
      <c r="E22" s="2">
        <v>0.0</v>
      </c>
      <c r="F22" s="2">
        <f t="shared" si="1"/>
        <v>0</v>
      </c>
    </row>
    <row r="23">
      <c r="A23" s="2">
        <v>22.0</v>
      </c>
      <c r="B23" s="2" t="s">
        <v>27</v>
      </c>
      <c r="C23" s="3">
        <v>45552.0</v>
      </c>
      <c r="D23" s="6">
        <v>0.0</v>
      </c>
      <c r="E23" s="2">
        <v>0.0</v>
      </c>
      <c r="F23" s="2">
        <f t="shared" si="1"/>
        <v>0</v>
      </c>
    </row>
    <row r="24">
      <c r="A24" s="2">
        <v>23.0</v>
      </c>
      <c r="B24" s="2" t="s">
        <v>28</v>
      </c>
      <c r="C24" s="3">
        <v>45552.0</v>
      </c>
      <c r="D24" s="6">
        <v>0.0</v>
      </c>
      <c r="E24" s="2">
        <v>0.0</v>
      </c>
      <c r="F24" s="2">
        <f t="shared" si="1"/>
        <v>0</v>
      </c>
    </row>
    <row r="25">
      <c r="A25" s="2">
        <v>24.0</v>
      </c>
      <c r="B25" s="2" t="s">
        <v>29</v>
      </c>
      <c r="C25" s="3">
        <v>45552.0</v>
      </c>
      <c r="D25" s="6">
        <v>0.0</v>
      </c>
      <c r="E25" s="2">
        <v>0.0</v>
      </c>
      <c r="F25" s="2">
        <f t="shared" si="1"/>
        <v>0</v>
      </c>
    </row>
    <row r="26">
      <c r="A26" s="2">
        <v>25.0</v>
      </c>
      <c r="B26" s="2" t="s">
        <v>30</v>
      </c>
      <c r="C26" s="3">
        <v>45552.0</v>
      </c>
      <c r="D26" s="6">
        <v>0.0</v>
      </c>
      <c r="E26" s="2">
        <v>0.0</v>
      </c>
      <c r="F26" s="2">
        <f t="shared" si="1"/>
        <v>0</v>
      </c>
    </row>
    <row r="27">
      <c r="A27" s="2">
        <v>26.0</v>
      </c>
      <c r="B27" s="2" t="s">
        <v>31</v>
      </c>
      <c r="C27" s="3">
        <v>45552.0</v>
      </c>
      <c r="D27" s="6">
        <v>0.0</v>
      </c>
      <c r="E27" s="2">
        <v>0.0</v>
      </c>
      <c r="F27" s="2">
        <f t="shared" si="1"/>
        <v>0</v>
      </c>
    </row>
    <row r="28">
      <c r="A28" s="2">
        <v>27.0</v>
      </c>
      <c r="B28" s="2" t="s">
        <v>32</v>
      </c>
      <c r="C28" s="3">
        <v>45552.0</v>
      </c>
      <c r="D28" s="6">
        <v>0.0</v>
      </c>
      <c r="E28" s="2">
        <v>0.0</v>
      </c>
      <c r="F28" s="2">
        <f t="shared" si="1"/>
        <v>0</v>
      </c>
    </row>
    <row r="29">
      <c r="A29" s="2">
        <v>28.0</v>
      </c>
      <c r="B29" s="2" t="s">
        <v>33</v>
      </c>
      <c r="C29" s="3">
        <v>45552.0</v>
      </c>
      <c r="D29" s="6">
        <v>0.0</v>
      </c>
      <c r="E29" s="2">
        <v>0.0</v>
      </c>
      <c r="F29" s="2">
        <f t="shared" si="1"/>
        <v>0</v>
      </c>
    </row>
    <row r="30">
      <c r="A30" s="2">
        <v>29.0</v>
      </c>
      <c r="B30" s="2" t="s">
        <v>34</v>
      </c>
      <c r="C30" s="3">
        <v>45552.0</v>
      </c>
      <c r="D30" s="6">
        <v>0.0</v>
      </c>
      <c r="E30" s="2">
        <v>0.0</v>
      </c>
      <c r="F30" s="2">
        <f t="shared" si="1"/>
        <v>0</v>
      </c>
    </row>
    <row r="31">
      <c r="A31" s="2">
        <v>30.0</v>
      </c>
      <c r="B31" s="2" t="s">
        <v>35</v>
      </c>
      <c r="C31" s="3">
        <v>45552.0</v>
      </c>
      <c r="D31" s="6">
        <v>0.0</v>
      </c>
      <c r="E31" s="2">
        <v>0.0</v>
      </c>
      <c r="F31" s="2">
        <f t="shared" si="1"/>
        <v>0</v>
      </c>
    </row>
    <row r="32">
      <c r="A32" s="2">
        <v>31.0</v>
      </c>
      <c r="B32" s="2" t="s">
        <v>36</v>
      </c>
      <c r="C32" s="3">
        <v>45552.0</v>
      </c>
      <c r="D32" s="6">
        <v>0.0</v>
      </c>
      <c r="E32" s="2">
        <v>0.0</v>
      </c>
      <c r="F32" s="2">
        <f t="shared" si="1"/>
        <v>0</v>
      </c>
    </row>
    <row r="33">
      <c r="A33" s="2">
        <v>32.0</v>
      </c>
      <c r="B33" s="2" t="s">
        <v>37</v>
      </c>
      <c r="C33" s="3">
        <v>45552.0</v>
      </c>
      <c r="D33" s="6">
        <v>0.0</v>
      </c>
      <c r="E33" s="2">
        <v>0.0</v>
      </c>
      <c r="F33" s="2">
        <f t="shared" si="1"/>
        <v>0</v>
      </c>
    </row>
    <row r="34">
      <c r="A34" s="2">
        <v>33.0</v>
      </c>
      <c r="B34" s="2" t="s">
        <v>38</v>
      </c>
      <c r="C34" s="3">
        <v>45552.0</v>
      </c>
      <c r="D34" s="6">
        <v>0.0</v>
      </c>
      <c r="E34" s="2">
        <v>0.0</v>
      </c>
      <c r="F34" s="2">
        <f t="shared" si="1"/>
        <v>0</v>
      </c>
    </row>
    <row r="35">
      <c r="A35" s="2">
        <v>34.0</v>
      </c>
      <c r="B35" s="2" t="s">
        <v>39</v>
      </c>
      <c r="C35" s="3">
        <v>45552.0</v>
      </c>
      <c r="D35" s="6">
        <v>0.0</v>
      </c>
      <c r="E35" s="2">
        <v>0.0</v>
      </c>
      <c r="F35" s="2">
        <f t="shared" si="1"/>
        <v>0</v>
      </c>
    </row>
    <row r="36">
      <c r="A36" s="2">
        <v>35.0</v>
      </c>
      <c r="B36" s="2" t="s">
        <v>40</v>
      </c>
      <c r="C36" s="3">
        <v>45552.0</v>
      </c>
      <c r="D36" s="6">
        <v>0.0</v>
      </c>
      <c r="E36" s="2">
        <v>0.0</v>
      </c>
      <c r="F36" s="2">
        <f t="shared" si="1"/>
        <v>0</v>
      </c>
    </row>
    <row r="37">
      <c r="A37" s="2">
        <v>36.0</v>
      </c>
      <c r="B37" s="2" t="s">
        <v>41</v>
      </c>
      <c r="C37" s="3">
        <v>45552.0</v>
      </c>
      <c r="D37" s="6">
        <v>0.0</v>
      </c>
      <c r="E37" s="2">
        <v>0.0</v>
      </c>
      <c r="F37" s="2">
        <f t="shared" si="1"/>
        <v>0</v>
      </c>
    </row>
    <row r="38">
      <c r="A38" s="2">
        <v>37.0</v>
      </c>
      <c r="B38" s="2" t="s">
        <v>42</v>
      </c>
      <c r="C38" s="3">
        <v>45552.0</v>
      </c>
      <c r="D38" s="6">
        <v>3.0</v>
      </c>
      <c r="E38" s="2">
        <v>0.0</v>
      </c>
      <c r="F38" s="2">
        <f t="shared" si="1"/>
        <v>1</v>
      </c>
    </row>
    <row r="39">
      <c r="A39" s="2">
        <v>38.0</v>
      </c>
      <c r="B39" s="2" t="s">
        <v>43</v>
      </c>
      <c r="C39" s="3">
        <v>45552.0</v>
      </c>
      <c r="D39" s="6">
        <v>0.0</v>
      </c>
      <c r="E39" s="2">
        <v>0.0</v>
      </c>
      <c r="F39" s="2">
        <f t="shared" si="1"/>
        <v>0</v>
      </c>
    </row>
    <row r="40">
      <c r="A40" s="2">
        <v>39.0</v>
      </c>
      <c r="B40" s="2" t="s">
        <v>44</v>
      </c>
      <c r="C40" s="3">
        <v>45552.0</v>
      </c>
      <c r="D40" s="6">
        <v>0.0</v>
      </c>
      <c r="E40" s="2">
        <v>0.0</v>
      </c>
      <c r="F40" s="2">
        <f t="shared" si="1"/>
        <v>0</v>
      </c>
    </row>
    <row r="41">
      <c r="A41" s="2">
        <v>40.0</v>
      </c>
      <c r="B41" s="2" t="s">
        <v>45</v>
      </c>
      <c r="C41" s="3">
        <v>45552.0</v>
      </c>
      <c r="D41" s="6">
        <v>0.0</v>
      </c>
      <c r="E41" s="2">
        <v>0.0</v>
      </c>
      <c r="F41" s="2">
        <f t="shared" si="1"/>
        <v>0</v>
      </c>
    </row>
    <row r="42">
      <c r="A42" s="2">
        <v>41.0</v>
      </c>
      <c r="B42" s="2" t="s">
        <v>46</v>
      </c>
      <c r="C42" s="3">
        <v>45552.0</v>
      </c>
      <c r="D42" s="6">
        <v>0.0</v>
      </c>
      <c r="E42" s="2">
        <v>0.0</v>
      </c>
      <c r="F42" s="2">
        <f t="shared" si="1"/>
        <v>0</v>
      </c>
    </row>
    <row r="43">
      <c r="A43" s="2">
        <v>42.0</v>
      </c>
      <c r="B43" s="2" t="s">
        <v>47</v>
      </c>
      <c r="C43" s="3">
        <v>45552.0</v>
      </c>
      <c r="D43" s="6">
        <v>0.0</v>
      </c>
      <c r="E43" s="2">
        <v>0.0</v>
      </c>
      <c r="F43" s="2">
        <f t="shared" si="1"/>
        <v>0</v>
      </c>
    </row>
    <row r="44">
      <c r="A44" s="2">
        <v>43.0</v>
      </c>
      <c r="B44" s="2" t="s">
        <v>48</v>
      </c>
      <c r="C44" s="3">
        <v>45552.0</v>
      </c>
      <c r="D44" s="6">
        <v>0.0</v>
      </c>
      <c r="E44" s="2">
        <v>0.0</v>
      </c>
      <c r="F44" s="2">
        <f t="shared" si="1"/>
        <v>0</v>
      </c>
    </row>
    <row r="45">
      <c r="A45" s="2">
        <v>44.0</v>
      </c>
      <c r="B45" s="2" t="s">
        <v>49</v>
      </c>
      <c r="C45" s="3">
        <v>45552.0</v>
      </c>
      <c r="D45" s="6">
        <v>181.0</v>
      </c>
      <c r="E45" s="2">
        <v>0.0</v>
      </c>
      <c r="F45" s="2">
        <f t="shared" si="1"/>
        <v>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41980.0</v>
      </c>
      <c r="D2" s="2">
        <v>0.0</v>
      </c>
      <c r="E2" s="2">
        <v>494.0</v>
      </c>
      <c r="F2" s="2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41980.0</v>
      </c>
      <c r="D3" s="2">
        <v>0.0</v>
      </c>
      <c r="E3" s="2">
        <v>390.0</v>
      </c>
      <c r="F3" s="2">
        <f t="shared" si="1"/>
        <v>1</v>
      </c>
    </row>
    <row r="4">
      <c r="A4" s="2">
        <v>3.0</v>
      </c>
      <c r="B4" s="2" t="s">
        <v>8</v>
      </c>
      <c r="C4" s="3">
        <v>41980.0</v>
      </c>
      <c r="D4" s="2">
        <v>0.0</v>
      </c>
      <c r="E4" s="2">
        <v>235.0</v>
      </c>
      <c r="F4" s="2">
        <f t="shared" si="1"/>
        <v>1</v>
      </c>
    </row>
    <row r="5">
      <c r="A5" s="2">
        <v>4.0</v>
      </c>
      <c r="B5" s="2" t="s">
        <v>9</v>
      </c>
      <c r="C5" s="3">
        <v>41980.0</v>
      </c>
      <c r="D5" s="2">
        <v>0.0</v>
      </c>
      <c r="E5" s="2">
        <v>95.0</v>
      </c>
      <c r="F5" s="2">
        <f t="shared" si="1"/>
        <v>1</v>
      </c>
    </row>
    <row r="6">
      <c r="A6" s="2">
        <v>5.0</v>
      </c>
      <c r="B6" s="2" t="s">
        <v>10</v>
      </c>
      <c r="C6" s="3">
        <v>41980.0</v>
      </c>
      <c r="D6" s="2">
        <v>0.0</v>
      </c>
      <c r="E6" s="2">
        <v>183.0</v>
      </c>
      <c r="F6" s="2">
        <f t="shared" si="1"/>
        <v>1</v>
      </c>
    </row>
    <row r="7">
      <c r="A7" s="2">
        <v>6.0</v>
      </c>
      <c r="B7" s="2" t="s">
        <v>11</v>
      </c>
      <c r="C7" s="3">
        <v>41980.0</v>
      </c>
      <c r="D7" s="2">
        <v>0.0</v>
      </c>
      <c r="E7" s="2">
        <v>231.0</v>
      </c>
      <c r="F7" s="2">
        <f t="shared" si="1"/>
        <v>1</v>
      </c>
    </row>
    <row r="8">
      <c r="A8" s="2">
        <v>7.0</v>
      </c>
      <c r="B8" s="2" t="s">
        <v>12</v>
      </c>
      <c r="C8" s="3">
        <v>41980.0</v>
      </c>
      <c r="D8" s="2">
        <v>0.0</v>
      </c>
      <c r="E8" s="2">
        <v>269.0</v>
      </c>
      <c r="F8" s="2">
        <f t="shared" si="1"/>
        <v>1</v>
      </c>
    </row>
    <row r="9">
      <c r="A9" s="2">
        <v>8.0</v>
      </c>
      <c r="B9" s="2" t="s">
        <v>13</v>
      </c>
      <c r="C9" s="3">
        <v>41980.0</v>
      </c>
      <c r="D9" s="2">
        <v>0.0</v>
      </c>
      <c r="E9" s="2">
        <v>323.0</v>
      </c>
      <c r="F9" s="2">
        <f t="shared" si="1"/>
        <v>1</v>
      </c>
    </row>
    <row r="10">
      <c r="A10" s="2">
        <v>9.0</v>
      </c>
      <c r="B10" s="2" t="s">
        <v>14</v>
      </c>
      <c r="C10" s="3">
        <v>41980.0</v>
      </c>
      <c r="D10" s="2">
        <v>0.0</v>
      </c>
      <c r="E10" s="2">
        <v>497.0</v>
      </c>
      <c r="F10" s="2">
        <f t="shared" si="1"/>
        <v>1</v>
      </c>
    </row>
    <row r="11">
      <c r="A11" s="2">
        <v>10.0</v>
      </c>
      <c r="B11" s="2" t="s">
        <v>15</v>
      </c>
      <c r="C11" s="3">
        <v>41980.0</v>
      </c>
      <c r="D11" s="2">
        <v>0.0</v>
      </c>
      <c r="E11" s="2">
        <v>535.0</v>
      </c>
      <c r="F11" s="2">
        <f t="shared" si="1"/>
        <v>1</v>
      </c>
    </row>
    <row r="12">
      <c r="A12" s="2">
        <v>11.0</v>
      </c>
      <c r="B12" s="2" t="s">
        <v>16</v>
      </c>
      <c r="C12" s="3">
        <v>41980.0</v>
      </c>
      <c r="D12" s="2">
        <v>0.0</v>
      </c>
      <c r="E12" s="2">
        <v>180.0</v>
      </c>
      <c r="F12" s="2">
        <f t="shared" si="1"/>
        <v>1</v>
      </c>
    </row>
    <row r="13">
      <c r="A13" s="2">
        <v>12.0</v>
      </c>
      <c r="B13" s="2" t="s">
        <v>17</v>
      </c>
      <c r="C13" s="3">
        <v>41980.0</v>
      </c>
      <c r="D13" s="2">
        <v>0.0</v>
      </c>
      <c r="E13" s="2">
        <v>163.0</v>
      </c>
      <c r="F13" s="2">
        <f t="shared" si="1"/>
        <v>1</v>
      </c>
    </row>
    <row r="14">
      <c r="A14" s="2">
        <v>13.0</v>
      </c>
      <c r="B14" s="2" t="s">
        <v>18</v>
      </c>
      <c r="C14" s="3">
        <v>41980.0</v>
      </c>
      <c r="D14" s="2">
        <v>0.0</v>
      </c>
      <c r="E14" s="2">
        <v>109.0</v>
      </c>
      <c r="F14" s="2">
        <f t="shared" si="1"/>
        <v>1</v>
      </c>
    </row>
    <row r="15">
      <c r="A15" s="2">
        <v>14.0</v>
      </c>
      <c r="B15" s="2" t="s">
        <v>19</v>
      </c>
      <c r="C15" s="3">
        <v>41980.0</v>
      </c>
      <c r="D15" s="2">
        <v>0.0</v>
      </c>
      <c r="E15" s="2">
        <v>315.0</v>
      </c>
      <c r="F15" s="2">
        <f t="shared" si="1"/>
        <v>1</v>
      </c>
    </row>
    <row r="16">
      <c r="A16" s="2">
        <v>15.0</v>
      </c>
      <c r="B16" s="2" t="s">
        <v>20</v>
      </c>
      <c r="C16" s="3">
        <v>41980.0</v>
      </c>
      <c r="D16" s="2">
        <v>0.0</v>
      </c>
      <c r="E16" s="2">
        <v>120.0</v>
      </c>
      <c r="F16" s="2">
        <f t="shared" si="1"/>
        <v>1</v>
      </c>
    </row>
    <row r="17">
      <c r="A17" s="2">
        <v>16.0</v>
      </c>
      <c r="B17" s="2" t="s">
        <v>21</v>
      </c>
      <c r="C17" s="3">
        <v>41980.0</v>
      </c>
      <c r="D17" s="2">
        <v>0.0</v>
      </c>
      <c r="E17" s="2">
        <v>259.0</v>
      </c>
      <c r="F17" s="2">
        <f t="shared" si="1"/>
        <v>1</v>
      </c>
    </row>
    <row r="18">
      <c r="A18" s="2">
        <v>17.0</v>
      </c>
      <c r="B18" s="2" t="s">
        <v>22</v>
      </c>
      <c r="C18" s="3">
        <v>41980.0</v>
      </c>
      <c r="D18" s="2">
        <v>0.0</v>
      </c>
      <c r="E18" s="2">
        <v>140.0</v>
      </c>
      <c r="F18" s="2">
        <f t="shared" si="1"/>
        <v>1</v>
      </c>
    </row>
    <row r="19">
      <c r="A19" s="2">
        <v>18.0</v>
      </c>
      <c r="B19" s="2" t="s">
        <v>23</v>
      </c>
      <c r="C19" s="3">
        <v>41980.0</v>
      </c>
      <c r="D19" s="2">
        <v>0.0</v>
      </c>
      <c r="E19" s="2">
        <v>480.0</v>
      </c>
      <c r="F19" s="2">
        <f t="shared" si="1"/>
        <v>1</v>
      </c>
    </row>
    <row r="20">
      <c r="A20" s="2">
        <v>19.0</v>
      </c>
      <c r="B20" s="2" t="s">
        <v>24</v>
      </c>
      <c r="C20" s="3">
        <v>41980.0</v>
      </c>
      <c r="D20" s="2">
        <v>0.0</v>
      </c>
      <c r="E20" s="2">
        <v>232.0</v>
      </c>
      <c r="F20" s="2">
        <f t="shared" si="1"/>
        <v>1</v>
      </c>
    </row>
    <row r="21">
      <c r="A21" s="2">
        <v>20.0</v>
      </c>
      <c r="B21" s="2" t="s">
        <v>25</v>
      </c>
      <c r="C21" s="3">
        <v>41980.0</v>
      </c>
      <c r="D21" s="2">
        <v>0.0</v>
      </c>
      <c r="E21" s="2">
        <v>337.0</v>
      </c>
      <c r="F21" s="2">
        <f t="shared" si="1"/>
        <v>1</v>
      </c>
    </row>
    <row r="22">
      <c r="A22" s="2">
        <v>21.0</v>
      </c>
      <c r="B22" s="2" t="s">
        <v>26</v>
      </c>
      <c r="C22" s="3">
        <v>41980.0</v>
      </c>
      <c r="D22" s="2">
        <v>0.0</v>
      </c>
      <c r="E22" s="2">
        <v>359.0</v>
      </c>
      <c r="F22" s="2">
        <f t="shared" si="1"/>
        <v>1</v>
      </c>
    </row>
    <row r="23">
      <c r="A23" s="2">
        <v>22.0</v>
      </c>
      <c r="B23" s="2" t="s">
        <v>27</v>
      </c>
      <c r="C23" s="3">
        <v>41980.0</v>
      </c>
      <c r="D23" s="2">
        <v>0.0</v>
      </c>
      <c r="E23" s="2">
        <v>119.0</v>
      </c>
      <c r="F23" s="2">
        <f t="shared" si="1"/>
        <v>1</v>
      </c>
    </row>
    <row r="24">
      <c r="A24" s="2">
        <v>23.0</v>
      </c>
      <c r="B24" s="2" t="s">
        <v>28</v>
      </c>
      <c r="C24" s="3">
        <v>41980.0</v>
      </c>
      <c r="D24" s="2">
        <v>0.0</v>
      </c>
      <c r="E24" s="2">
        <v>153.0</v>
      </c>
      <c r="F24" s="2">
        <f t="shared" si="1"/>
        <v>1</v>
      </c>
    </row>
    <row r="25">
      <c r="A25" s="2">
        <v>24.0</v>
      </c>
      <c r="B25" s="2" t="s">
        <v>29</v>
      </c>
      <c r="C25" s="3">
        <v>41980.0</v>
      </c>
      <c r="D25" s="2">
        <v>0.0</v>
      </c>
      <c r="E25" s="2">
        <v>122.0</v>
      </c>
      <c r="F25" s="2">
        <f t="shared" si="1"/>
        <v>1</v>
      </c>
    </row>
    <row r="26">
      <c r="A26" s="2">
        <v>25.0</v>
      </c>
      <c r="B26" s="2" t="s">
        <v>30</v>
      </c>
      <c r="C26" s="3">
        <v>41980.0</v>
      </c>
      <c r="D26" s="2">
        <v>0.0</v>
      </c>
      <c r="E26" s="2">
        <v>455.0</v>
      </c>
      <c r="F26" s="2">
        <f t="shared" si="1"/>
        <v>1</v>
      </c>
    </row>
    <row r="27">
      <c r="A27" s="2">
        <v>26.0</v>
      </c>
      <c r="B27" s="2" t="s">
        <v>31</v>
      </c>
      <c r="C27" s="3">
        <v>41980.0</v>
      </c>
      <c r="D27" s="2">
        <v>0.0</v>
      </c>
      <c r="E27" s="2">
        <v>206.0</v>
      </c>
      <c r="F27" s="2">
        <f t="shared" si="1"/>
        <v>1</v>
      </c>
    </row>
    <row r="28">
      <c r="A28" s="2">
        <v>27.0</v>
      </c>
      <c r="B28" s="2" t="s">
        <v>32</v>
      </c>
      <c r="C28" s="3">
        <v>41980.0</v>
      </c>
      <c r="D28" s="2">
        <v>0.0</v>
      </c>
      <c r="E28" s="2">
        <v>121.0</v>
      </c>
      <c r="F28" s="2">
        <f t="shared" si="1"/>
        <v>1</v>
      </c>
    </row>
    <row r="29">
      <c r="A29" s="2">
        <v>28.0</v>
      </c>
      <c r="B29" s="2" t="s">
        <v>33</v>
      </c>
      <c r="C29" s="3">
        <v>41980.0</v>
      </c>
      <c r="D29" s="2">
        <v>0.0</v>
      </c>
      <c r="E29" s="2">
        <v>244.0</v>
      </c>
      <c r="F29" s="2">
        <f t="shared" si="1"/>
        <v>1</v>
      </c>
    </row>
    <row r="30">
      <c r="A30" s="2">
        <v>29.0</v>
      </c>
      <c r="B30" s="2" t="s">
        <v>34</v>
      </c>
      <c r="C30" s="3">
        <v>41980.0</v>
      </c>
      <c r="D30" s="2">
        <v>0.0</v>
      </c>
      <c r="E30" s="2">
        <v>197.0</v>
      </c>
      <c r="F30" s="2">
        <f t="shared" si="1"/>
        <v>1</v>
      </c>
    </row>
    <row r="31">
      <c r="A31" s="2">
        <v>30.0</v>
      </c>
      <c r="B31" s="2" t="s">
        <v>35</v>
      </c>
      <c r="C31" s="3">
        <v>41980.0</v>
      </c>
      <c r="D31" s="2">
        <v>0.0</v>
      </c>
      <c r="E31" s="2">
        <v>523.0</v>
      </c>
      <c r="F31" s="2">
        <f t="shared" si="1"/>
        <v>1</v>
      </c>
    </row>
    <row r="32">
      <c r="A32" s="2">
        <v>31.0</v>
      </c>
      <c r="B32" s="2" t="s">
        <v>36</v>
      </c>
      <c r="C32" s="3">
        <v>41980.0</v>
      </c>
      <c r="D32" s="2">
        <v>0.0</v>
      </c>
      <c r="E32" s="2">
        <v>247.0</v>
      </c>
      <c r="F32" s="2">
        <f t="shared" si="1"/>
        <v>1</v>
      </c>
    </row>
    <row r="33">
      <c r="A33" s="2">
        <v>32.0</v>
      </c>
      <c r="B33" s="2" t="s">
        <v>37</v>
      </c>
      <c r="C33" s="3">
        <v>41980.0</v>
      </c>
      <c r="D33" s="2">
        <v>0.0</v>
      </c>
      <c r="E33" s="2">
        <v>141.0</v>
      </c>
      <c r="F33" s="2">
        <f t="shared" si="1"/>
        <v>1</v>
      </c>
    </row>
    <row r="34">
      <c r="A34" s="2">
        <v>33.0</v>
      </c>
      <c r="B34" s="2" t="s">
        <v>38</v>
      </c>
      <c r="C34" s="3">
        <v>41980.0</v>
      </c>
      <c r="D34" s="2">
        <v>0.0</v>
      </c>
      <c r="E34" s="2">
        <v>175.0</v>
      </c>
      <c r="F34" s="2">
        <f t="shared" si="1"/>
        <v>1</v>
      </c>
    </row>
    <row r="35">
      <c r="A35" s="2">
        <v>34.0</v>
      </c>
      <c r="B35" s="2" t="s">
        <v>39</v>
      </c>
      <c r="C35" s="3">
        <v>41980.0</v>
      </c>
      <c r="D35" s="2">
        <v>0.0</v>
      </c>
      <c r="E35" s="2">
        <v>420.0</v>
      </c>
      <c r="F35" s="2">
        <f t="shared" si="1"/>
        <v>1</v>
      </c>
    </row>
    <row r="36">
      <c r="A36" s="2">
        <v>35.0</v>
      </c>
      <c r="B36" s="2" t="s">
        <v>40</v>
      </c>
      <c r="C36" s="3">
        <v>41980.0</v>
      </c>
      <c r="D36" s="2">
        <v>0.0</v>
      </c>
      <c r="E36" s="2">
        <v>180.0</v>
      </c>
      <c r="F36" s="2">
        <f t="shared" si="1"/>
        <v>1</v>
      </c>
    </row>
    <row r="37">
      <c r="A37" s="2">
        <v>36.0</v>
      </c>
      <c r="B37" s="2" t="s">
        <v>41</v>
      </c>
      <c r="C37" s="3">
        <v>41980.0</v>
      </c>
      <c r="D37" s="2">
        <v>0.0</v>
      </c>
      <c r="E37" s="2">
        <v>176.0</v>
      </c>
      <c r="F37" s="2">
        <f t="shared" si="1"/>
        <v>1</v>
      </c>
    </row>
    <row r="38">
      <c r="A38" s="2">
        <v>37.0</v>
      </c>
      <c r="B38" s="2" t="s">
        <v>42</v>
      </c>
      <c r="C38" s="3">
        <v>41980.0</v>
      </c>
      <c r="D38" s="2">
        <v>0.0</v>
      </c>
      <c r="E38" s="2">
        <v>554.0</v>
      </c>
      <c r="F38" s="2">
        <f t="shared" si="1"/>
        <v>1</v>
      </c>
    </row>
    <row r="39">
      <c r="A39" s="2">
        <v>38.0</v>
      </c>
      <c r="B39" s="2" t="s">
        <v>43</v>
      </c>
      <c r="C39" s="3">
        <v>41980.0</v>
      </c>
      <c r="D39" s="2">
        <v>0.0</v>
      </c>
      <c r="E39" s="2">
        <v>204.0</v>
      </c>
      <c r="F39" s="2">
        <f t="shared" si="1"/>
        <v>1</v>
      </c>
    </row>
    <row r="40">
      <c r="A40" s="2">
        <v>39.0</v>
      </c>
      <c r="B40" s="2" t="s">
        <v>44</v>
      </c>
      <c r="C40" s="3">
        <v>41980.0</v>
      </c>
      <c r="D40" s="2">
        <v>0.0</v>
      </c>
      <c r="E40" s="2">
        <v>283.0</v>
      </c>
      <c r="F40" s="2">
        <f t="shared" si="1"/>
        <v>1</v>
      </c>
    </row>
    <row r="41">
      <c r="A41" s="2">
        <v>40.0</v>
      </c>
      <c r="B41" s="2" t="s">
        <v>45</v>
      </c>
      <c r="C41" s="3">
        <v>41980.0</v>
      </c>
      <c r="D41" s="2">
        <v>0.0</v>
      </c>
      <c r="E41" s="2">
        <v>377.0</v>
      </c>
      <c r="F41" s="2">
        <f t="shared" si="1"/>
        <v>1</v>
      </c>
    </row>
    <row r="42">
      <c r="A42" s="2">
        <v>41.0</v>
      </c>
      <c r="B42" s="2" t="s">
        <v>46</v>
      </c>
      <c r="C42" s="3">
        <v>41980.0</v>
      </c>
      <c r="D42" s="2">
        <v>0.0</v>
      </c>
      <c r="E42" s="2">
        <v>100.0</v>
      </c>
      <c r="F42" s="2">
        <f t="shared" si="1"/>
        <v>1</v>
      </c>
    </row>
    <row r="43">
      <c r="A43" s="2">
        <v>42.0</v>
      </c>
      <c r="B43" s="2" t="s">
        <v>47</v>
      </c>
      <c r="C43" s="3">
        <v>41980.0</v>
      </c>
      <c r="D43" s="2">
        <v>0.0</v>
      </c>
      <c r="E43" s="2">
        <v>218.0</v>
      </c>
      <c r="F43" s="2">
        <f t="shared" si="1"/>
        <v>1</v>
      </c>
    </row>
    <row r="44">
      <c r="A44" s="2">
        <v>43.0</v>
      </c>
      <c r="B44" s="2" t="s">
        <v>48</v>
      </c>
      <c r="C44" s="3">
        <v>41980.0</v>
      </c>
      <c r="D44" s="2">
        <v>0.0</v>
      </c>
      <c r="E44" s="2">
        <v>468.0</v>
      </c>
      <c r="F44" s="2">
        <f t="shared" si="1"/>
        <v>1</v>
      </c>
    </row>
    <row r="45">
      <c r="A45" s="2">
        <v>44.0</v>
      </c>
      <c r="B45" s="2" t="s">
        <v>49</v>
      </c>
      <c r="C45" s="3">
        <v>41980.0</v>
      </c>
      <c r="D45" s="2">
        <v>0.0</v>
      </c>
      <c r="E45" s="2">
        <v>421.0</v>
      </c>
      <c r="F45" s="2">
        <f t="shared" si="1"/>
        <v>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45609.0</v>
      </c>
      <c r="D2" s="2">
        <v>111.0</v>
      </c>
      <c r="E2" s="2">
        <v>0.0</v>
      </c>
      <c r="F2" s="2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45609.0</v>
      </c>
      <c r="D3" s="2">
        <v>680.0</v>
      </c>
      <c r="E3" s="2">
        <v>0.0</v>
      </c>
      <c r="F3" s="2">
        <f t="shared" si="1"/>
        <v>1</v>
      </c>
    </row>
    <row r="4">
      <c r="A4" s="2">
        <v>3.0</v>
      </c>
      <c r="B4" s="2" t="s">
        <v>8</v>
      </c>
      <c r="C4" s="3">
        <v>45609.0</v>
      </c>
      <c r="D4" s="2">
        <v>290.0</v>
      </c>
      <c r="E4" s="2">
        <v>0.0</v>
      </c>
      <c r="F4" s="2">
        <f t="shared" si="1"/>
        <v>1</v>
      </c>
    </row>
    <row r="5">
      <c r="A5" s="2">
        <v>4.0</v>
      </c>
      <c r="B5" s="2" t="s">
        <v>9</v>
      </c>
      <c r="C5" s="3">
        <v>45609.0</v>
      </c>
      <c r="D5" s="2">
        <v>81.0</v>
      </c>
      <c r="E5" s="2">
        <v>0.0</v>
      </c>
      <c r="F5" s="2">
        <f t="shared" si="1"/>
        <v>1</v>
      </c>
    </row>
    <row r="6">
      <c r="A6" s="2">
        <v>5.0</v>
      </c>
      <c r="B6" s="2" t="s">
        <v>10</v>
      </c>
      <c r="C6" s="3">
        <v>45609.0</v>
      </c>
      <c r="D6" s="2">
        <v>30.0</v>
      </c>
      <c r="E6" s="2">
        <v>0.0</v>
      </c>
      <c r="F6" s="2">
        <f t="shared" si="1"/>
        <v>1</v>
      </c>
    </row>
    <row r="7">
      <c r="A7" s="2">
        <v>6.0</v>
      </c>
      <c r="B7" s="2" t="s">
        <v>11</v>
      </c>
      <c r="C7" s="3">
        <v>45609.0</v>
      </c>
      <c r="D7" s="2">
        <v>200.0</v>
      </c>
      <c r="E7" s="2">
        <v>0.0</v>
      </c>
      <c r="F7" s="2">
        <f t="shared" si="1"/>
        <v>1</v>
      </c>
    </row>
    <row r="8">
      <c r="A8" s="2">
        <v>7.0</v>
      </c>
      <c r="B8" s="2" t="s">
        <v>12</v>
      </c>
      <c r="C8" s="3">
        <v>45609.0</v>
      </c>
      <c r="D8" s="2">
        <v>21.0</v>
      </c>
      <c r="E8" s="2">
        <v>0.0</v>
      </c>
      <c r="F8" s="2">
        <f t="shared" si="1"/>
        <v>1</v>
      </c>
    </row>
    <row r="9">
      <c r="A9" s="2">
        <v>8.0</v>
      </c>
      <c r="B9" s="2" t="s">
        <v>13</v>
      </c>
      <c r="C9" s="3">
        <v>45609.0</v>
      </c>
      <c r="D9" s="2">
        <v>296.0</v>
      </c>
      <c r="E9" s="2">
        <v>0.0</v>
      </c>
      <c r="F9" s="2">
        <f t="shared" si="1"/>
        <v>1</v>
      </c>
    </row>
    <row r="10">
      <c r="A10" s="2">
        <v>9.0</v>
      </c>
      <c r="B10" s="2" t="s">
        <v>14</v>
      </c>
      <c r="C10" s="3">
        <v>45609.0</v>
      </c>
      <c r="D10" s="2">
        <v>500.0</v>
      </c>
      <c r="E10" s="2">
        <v>0.0</v>
      </c>
      <c r="F10" s="2">
        <f t="shared" si="1"/>
        <v>1</v>
      </c>
    </row>
    <row r="11">
      <c r="A11" s="2">
        <v>10.0</v>
      </c>
      <c r="B11" s="2" t="s">
        <v>15</v>
      </c>
      <c r="C11" s="3">
        <v>45609.0</v>
      </c>
      <c r="D11" s="2">
        <v>500.0</v>
      </c>
      <c r="E11" s="2">
        <v>0.0</v>
      </c>
      <c r="F11" s="2">
        <f t="shared" si="1"/>
        <v>1</v>
      </c>
    </row>
    <row r="12">
      <c r="A12" s="2">
        <v>11.0</v>
      </c>
      <c r="B12" s="2" t="s">
        <v>16</v>
      </c>
      <c r="C12" s="3">
        <v>45609.0</v>
      </c>
      <c r="D12" s="2">
        <v>75.0</v>
      </c>
      <c r="E12" s="2">
        <v>0.0</v>
      </c>
      <c r="F12" s="2">
        <f t="shared" si="1"/>
        <v>1</v>
      </c>
    </row>
    <row r="13">
      <c r="A13" s="2">
        <v>12.0</v>
      </c>
      <c r="B13" s="2" t="s">
        <v>17</v>
      </c>
      <c r="C13" s="3">
        <v>45609.0</v>
      </c>
      <c r="D13" s="2">
        <v>334.0</v>
      </c>
      <c r="E13" s="2">
        <v>0.0</v>
      </c>
      <c r="F13" s="2">
        <f t="shared" si="1"/>
        <v>1</v>
      </c>
    </row>
    <row r="14">
      <c r="A14" s="2">
        <v>13.0</v>
      </c>
      <c r="B14" s="2" t="s">
        <v>18</v>
      </c>
      <c r="C14" s="3">
        <v>45609.0</v>
      </c>
      <c r="D14" s="2">
        <v>390.0</v>
      </c>
      <c r="E14" s="2">
        <v>0.0</v>
      </c>
      <c r="F14" s="2">
        <f t="shared" si="1"/>
        <v>1</v>
      </c>
    </row>
    <row r="15">
      <c r="A15" s="2">
        <v>14.0</v>
      </c>
      <c r="B15" s="2" t="s">
        <v>19</v>
      </c>
      <c r="C15" s="3">
        <v>45609.0</v>
      </c>
      <c r="D15" s="2">
        <v>58.0</v>
      </c>
      <c r="E15" s="2">
        <v>0.0</v>
      </c>
      <c r="F15" s="2">
        <f t="shared" si="1"/>
        <v>1</v>
      </c>
    </row>
    <row r="16">
      <c r="A16" s="2">
        <v>15.0</v>
      </c>
      <c r="B16" s="2" t="s">
        <v>20</v>
      </c>
      <c r="C16" s="3">
        <v>45609.0</v>
      </c>
      <c r="D16" s="2">
        <v>85.0</v>
      </c>
      <c r="E16" s="2">
        <v>0.0</v>
      </c>
      <c r="F16" s="2">
        <f t="shared" si="1"/>
        <v>1</v>
      </c>
    </row>
    <row r="17">
      <c r="A17" s="2">
        <v>16.0</v>
      </c>
      <c r="B17" s="2" t="s">
        <v>21</v>
      </c>
      <c r="C17" s="3">
        <v>45609.0</v>
      </c>
      <c r="D17" s="2">
        <v>75.0</v>
      </c>
      <c r="E17" s="2">
        <v>0.0</v>
      </c>
      <c r="F17" s="2">
        <f t="shared" si="1"/>
        <v>1</v>
      </c>
    </row>
    <row r="18">
      <c r="A18" s="2">
        <v>17.0</v>
      </c>
      <c r="B18" s="2" t="s">
        <v>22</v>
      </c>
      <c r="C18" s="3">
        <v>45609.0</v>
      </c>
      <c r="D18" s="2">
        <v>101.0</v>
      </c>
      <c r="E18" s="2">
        <v>0.0</v>
      </c>
      <c r="F18" s="2">
        <f t="shared" si="1"/>
        <v>1</v>
      </c>
    </row>
    <row r="19">
      <c r="A19" s="2">
        <v>18.0</v>
      </c>
      <c r="B19" s="2" t="s">
        <v>23</v>
      </c>
      <c r="C19" s="3">
        <v>45609.0</v>
      </c>
      <c r="D19" s="2">
        <v>720.0</v>
      </c>
      <c r="E19" s="2">
        <v>0.0</v>
      </c>
      <c r="F19" s="2">
        <f t="shared" si="1"/>
        <v>1</v>
      </c>
    </row>
    <row r="20">
      <c r="A20" s="2">
        <v>19.0</v>
      </c>
      <c r="B20" s="2" t="s">
        <v>24</v>
      </c>
      <c r="C20" s="3">
        <v>45609.0</v>
      </c>
      <c r="D20" s="2">
        <v>140.0</v>
      </c>
      <c r="E20" s="2">
        <v>0.0</v>
      </c>
      <c r="F20" s="2">
        <f t="shared" si="1"/>
        <v>1</v>
      </c>
    </row>
    <row r="21">
      <c r="A21" s="2">
        <v>20.0</v>
      </c>
      <c r="B21" s="2" t="s">
        <v>25</v>
      </c>
      <c r="C21" s="3">
        <v>45609.0</v>
      </c>
      <c r="D21" s="2">
        <v>17.0</v>
      </c>
      <c r="E21" s="2">
        <v>0.0</v>
      </c>
      <c r="F21" s="2">
        <f t="shared" si="1"/>
        <v>1</v>
      </c>
    </row>
    <row r="22">
      <c r="A22" s="2">
        <v>21.0</v>
      </c>
      <c r="B22" s="2" t="s">
        <v>26</v>
      </c>
      <c r="C22" s="3">
        <v>45609.0</v>
      </c>
      <c r="D22" s="2">
        <v>510.0</v>
      </c>
      <c r="E22" s="2">
        <v>0.0</v>
      </c>
      <c r="F22" s="2">
        <f t="shared" si="1"/>
        <v>1</v>
      </c>
    </row>
    <row r="23">
      <c r="A23" s="2">
        <v>22.0</v>
      </c>
      <c r="B23" s="2" t="s">
        <v>27</v>
      </c>
      <c r="C23" s="3">
        <v>45609.0</v>
      </c>
      <c r="D23" s="2">
        <v>10.0</v>
      </c>
      <c r="E23" s="2">
        <v>0.0</v>
      </c>
      <c r="F23" s="2">
        <f t="shared" si="1"/>
        <v>1</v>
      </c>
    </row>
    <row r="24">
      <c r="A24" s="2">
        <v>23.0</v>
      </c>
      <c r="B24" s="2" t="s">
        <v>28</v>
      </c>
      <c r="C24" s="3">
        <v>45609.0</v>
      </c>
      <c r="D24" s="2">
        <v>50.0</v>
      </c>
      <c r="E24" s="2">
        <v>0.0</v>
      </c>
      <c r="F24" s="2">
        <f t="shared" si="1"/>
        <v>1</v>
      </c>
    </row>
    <row r="25">
      <c r="A25" s="2">
        <v>24.0</v>
      </c>
      <c r="B25" s="2" t="s">
        <v>29</v>
      </c>
      <c r="C25" s="3">
        <v>45609.0</v>
      </c>
      <c r="D25" s="2">
        <v>249.0</v>
      </c>
      <c r="E25" s="2">
        <v>0.0</v>
      </c>
      <c r="F25" s="2">
        <f t="shared" si="1"/>
        <v>1</v>
      </c>
    </row>
    <row r="26">
      <c r="A26" s="2">
        <v>25.0</v>
      </c>
      <c r="B26" s="2" t="s">
        <v>30</v>
      </c>
      <c r="C26" s="3">
        <v>45609.0</v>
      </c>
      <c r="D26" s="2">
        <v>254.0</v>
      </c>
      <c r="E26" s="2">
        <v>0.0</v>
      </c>
      <c r="F26" s="2">
        <f t="shared" si="1"/>
        <v>1</v>
      </c>
    </row>
    <row r="27">
      <c r="A27" s="2">
        <v>26.0</v>
      </c>
      <c r="B27" s="2" t="s">
        <v>31</v>
      </c>
      <c r="C27" s="3">
        <v>45609.0</v>
      </c>
      <c r="D27" s="2">
        <v>264.0</v>
      </c>
      <c r="E27" s="2">
        <v>0.0</v>
      </c>
      <c r="F27" s="2">
        <f t="shared" si="1"/>
        <v>1</v>
      </c>
    </row>
    <row r="28">
      <c r="A28" s="2">
        <v>27.0</v>
      </c>
      <c r="B28" s="2" t="s">
        <v>32</v>
      </c>
      <c r="C28" s="3">
        <v>45609.0</v>
      </c>
      <c r="D28" s="2">
        <v>70.0</v>
      </c>
      <c r="E28" s="2">
        <v>0.0</v>
      </c>
      <c r="F28" s="2">
        <f t="shared" si="1"/>
        <v>1</v>
      </c>
    </row>
    <row r="29">
      <c r="A29" s="2">
        <v>28.0</v>
      </c>
      <c r="B29" s="2" t="s">
        <v>33</v>
      </c>
      <c r="C29" s="3">
        <v>45609.0</v>
      </c>
      <c r="D29" s="2">
        <v>318.0</v>
      </c>
      <c r="E29" s="2">
        <v>0.0</v>
      </c>
      <c r="F29" s="2">
        <f t="shared" si="1"/>
        <v>1</v>
      </c>
    </row>
    <row r="30">
      <c r="A30" s="2">
        <v>29.0</v>
      </c>
      <c r="B30" s="2" t="s">
        <v>34</v>
      </c>
      <c r="C30" s="3">
        <v>45609.0</v>
      </c>
      <c r="D30" s="2">
        <v>800.0</v>
      </c>
      <c r="E30" s="2">
        <v>0.0</v>
      </c>
      <c r="F30" s="2">
        <f t="shared" si="1"/>
        <v>1</v>
      </c>
    </row>
    <row r="31">
      <c r="A31" s="2">
        <v>30.0</v>
      </c>
      <c r="B31" s="2" t="s">
        <v>35</v>
      </c>
      <c r="C31" s="3">
        <v>45609.0</v>
      </c>
      <c r="D31" s="2">
        <v>215.0</v>
      </c>
      <c r="E31" s="2">
        <v>0.0</v>
      </c>
      <c r="F31" s="2">
        <f t="shared" si="1"/>
        <v>1</v>
      </c>
    </row>
    <row r="32">
      <c r="A32" s="2">
        <v>31.0</v>
      </c>
      <c r="B32" s="2" t="s">
        <v>36</v>
      </c>
      <c r="C32" s="3">
        <v>45609.0</v>
      </c>
      <c r="D32" s="2">
        <v>40.0</v>
      </c>
      <c r="E32" s="2">
        <v>0.0</v>
      </c>
      <c r="F32" s="2">
        <f t="shared" si="1"/>
        <v>1</v>
      </c>
    </row>
    <row r="33">
      <c r="A33" s="2">
        <v>32.0</v>
      </c>
      <c r="B33" s="2" t="s">
        <v>37</v>
      </c>
      <c r="C33" s="3">
        <v>45609.0</v>
      </c>
      <c r="D33" s="2">
        <v>84.0</v>
      </c>
      <c r="E33" s="2">
        <v>0.0</v>
      </c>
      <c r="F33" s="2">
        <f t="shared" si="1"/>
        <v>1</v>
      </c>
    </row>
    <row r="34">
      <c r="A34" s="2">
        <v>33.0</v>
      </c>
      <c r="B34" s="2" t="s">
        <v>38</v>
      </c>
      <c r="C34" s="3">
        <v>45609.0</v>
      </c>
      <c r="D34" s="2">
        <v>152.0</v>
      </c>
      <c r="E34" s="2">
        <v>0.0</v>
      </c>
      <c r="F34" s="2">
        <f t="shared" si="1"/>
        <v>1</v>
      </c>
    </row>
    <row r="35">
      <c r="A35" s="2">
        <v>34.0</v>
      </c>
      <c r="B35" s="2" t="s">
        <v>39</v>
      </c>
      <c r="C35" s="3">
        <v>45609.0</v>
      </c>
      <c r="D35" s="2">
        <v>595.0</v>
      </c>
      <c r="E35" s="2">
        <v>0.0</v>
      </c>
      <c r="F35" s="2">
        <f t="shared" si="1"/>
        <v>1</v>
      </c>
    </row>
    <row r="36">
      <c r="A36" s="2">
        <v>35.0</v>
      </c>
      <c r="B36" s="2" t="s">
        <v>40</v>
      </c>
      <c r="C36" s="3">
        <v>45609.0</v>
      </c>
      <c r="D36" s="2">
        <v>102.0</v>
      </c>
      <c r="E36" s="2">
        <v>0.0</v>
      </c>
      <c r="F36" s="2">
        <f t="shared" si="1"/>
        <v>1</v>
      </c>
    </row>
    <row r="37">
      <c r="A37" s="2">
        <v>36.0</v>
      </c>
      <c r="B37" s="2" t="s">
        <v>41</v>
      </c>
      <c r="C37" s="3">
        <v>45609.0</v>
      </c>
      <c r="D37" s="2">
        <v>105.0</v>
      </c>
      <c r="E37" s="2">
        <v>0.0</v>
      </c>
      <c r="F37" s="2">
        <f t="shared" si="1"/>
        <v>1</v>
      </c>
    </row>
    <row r="38">
      <c r="A38" s="2">
        <v>37.0</v>
      </c>
      <c r="B38" s="2" t="s">
        <v>42</v>
      </c>
      <c r="C38" s="3">
        <v>45609.0</v>
      </c>
      <c r="D38" s="2">
        <v>1300.0</v>
      </c>
      <c r="E38" s="2">
        <v>0.0</v>
      </c>
      <c r="F38" s="2">
        <f t="shared" si="1"/>
        <v>1</v>
      </c>
    </row>
    <row r="39">
      <c r="A39" s="2">
        <v>38.0</v>
      </c>
      <c r="B39" s="2" t="s">
        <v>43</v>
      </c>
      <c r="C39" s="3">
        <v>45609.0</v>
      </c>
      <c r="D39" s="2">
        <v>77.0</v>
      </c>
      <c r="E39" s="2">
        <v>0.0</v>
      </c>
      <c r="F39" s="2">
        <f t="shared" si="1"/>
        <v>1</v>
      </c>
    </row>
    <row r="40">
      <c r="A40" s="2">
        <v>39.0</v>
      </c>
      <c r="B40" s="2" t="s">
        <v>44</v>
      </c>
      <c r="C40" s="3">
        <v>45609.0</v>
      </c>
      <c r="D40" s="2">
        <v>300.0</v>
      </c>
      <c r="E40" s="2">
        <v>0.0</v>
      </c>
      <c r="F40" s="2">
        <f t="shared" si="1"/>
        <v>1</v>
      </c>
    </row>
    <row r="41">
      <c r="A41" s="2">
        <v>40.0</v>
      </c>
      <c r="B41" s="2" t="s">
        <v>45</v>
      </c>
      <c r="C41" s="3">
        <v>45609.0</v>
      </c>
      <c r="D41" s="2">
        <v>150.0</v>
      </c>
      <c r="E41" s="2">
        <v>0.0</v>
      </c>
      <c r="F41" s="2">
        <f t="shared" si="1"/>
        <v>1</v>
      </c>
    </row>
    <row r="42">
      <c r="A42" s="2">
        <v>41.0</v>
      </c>
      <c r="B42" s="2" t="s">
        <v>46</v>
      </c>
      <c r="C42" s="3">
        <v>45609.0</v>
      </c>
      <c r="D42" s="2">
        <v>33.0</v>
      </c>
      <c r="E42" s="2">
        <v>0.0</v>
      </c>
      <c r="F42" s="2">
        <f t="shared" si="1"/>
        <v>1</v>
      </c>
    </row>
    <row r="43">
      <c r="A43" s="2">
        <v>42.0</v>
      </c>
      <c r="B43" s="2" t="s">
        <v>47</v>
      </c>
      <c r="C43" s="3">
        <v>45609.0</v>
      </c>
      <c r="D43" s="2">
        <v>250.0</v>
      </c>
      <c r="E43" s="2">
        <v>0.0</v>
      </c>
      <c r="F43" s="2">
        <f t="shared" si="1"/>
        <v>1</v>
      </c>
    </row>
    <row r="44">
      <c r="A44" s="2">
        <v>43.0</v>
      </c>
      <c r="B44" s="2" t="s">
        <v>48</v>
      </c>
      <c r="C44" s="3">
        <v>45609.0</v>
      </c>
      <c r="D44" s="2">
        <v>590.0</v>
      </c>
      <c r="E44" s="2">
        <v>0.0</v>
      </c>
      <c r="F44" s="2">
        <f t="shared" si="1"/>
        <v>1</v>
      </c>
    </row>
    <row r="45">
      <c r="A45" s="2">
        <v>44.0</v>
      </c>
      <c r="B45" s="2" t="s">
        <v>49</v>
      </c>
      <c r="C45" s="3">
        <v>45609.0</v>
      </c>
      <c r="D45" s="2">
        <v>478.0</v>
      </c>
      <c r="E45" s="2">
        <v>0.0</v>
      </c>
      <c r="F45" s="2">
        <f t="shared" si="1"/>
        <v>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45613.0</v>
      </c>
      <c r="D2" s="2">
        <v>220.0</v>
      </c>
      <c r="E2" s="2">
        <v>0.0</v>
      </c>
      <c r="F2" s="2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45613.0</v>
      </c>
      <c r="D3" s="2">
        <v>234.0</v>
      </c>
      <c r="E3" s="2">
        <v>0.0</v>
      </c>
      <c r="F3" s="2">
        <f t="shared" si="1"/>
        <v>1</v>
      </c>
    </row>
    <row r="4">
      <c r="A4" s="2">
        <v>3.0</v>
      </c>
      <c r="B4" s="2" t="s">
        <v>8</v>
      </c>
      <c r="C4" s="3">
        <v>45613.0</v>
      </c>
      <c r="D4" s="2">
        <v>218.0</v>
      </c>
      <c r="E4" s="2">
        <v>0.0</v>
      </c>
      <c r="F4" s="2">
        <f t="shared" si="1"/>
        <v>1</v>
      </c>
    </row>
    <row r="5">
      <c r="A5" s="2">
        <v>4.0</v>
      </c>
      <c r="B5" s="2" t="s">
        <v>9</v>
      </c>
      <c r="C5" s="3">
        <v>45613.0</v>
      </c>
      <c r="D5" s="2">
        <v>109.0</v>
      </c>
      <c r="E5" s="2">
        <v>0.0</v>
      </c>
      <c r="F5" s="2">
        <f t="shared" si="1"/>
        <v>1</v>
      </c>
    </row>
    <row r="6">
      <c r="A6" s="2">
        <v>5.0</v>
      </c>
      <c r="B6" s="2" t="s">
        <v>10</v>
      </c>
      <c r="C6" s="3">
        <v>45613.0</v>
      </c>
      <c r="D6" s="2">
        <v>78.0</v>
      </c>
      <c r="E6" s="2">
        <v>0.0</v>
      </c>
      <c r="F6" s="2">
        <f t="shared" si="1"/>
        <v>1</v>
      </c>
    </row>
    <row r="7">
      <c r="A7" s="2">
        <v>6.0</v>
      </c>
      <c r="B7" s="2" t="s">
        <v>11</v>
      </c>
      <c r="C7" s="3">
        <v>45613.0</v>
      </c>
      <c r="D7" s="2">
        <v>78.0</v>
      </c>
      <c r="E7" s="2">
        <v>0.0</v>
      </c>
      <c r="F7" s="2">
        <f t="shared" si="1"/>
        <v>1</v>
      </c>
    </row>
    <row r="8">
      <c r="A8" s="2">
        <v>7.0</v>
      </c>
      <c r="B8" s="2" t="s">
        <v>12</v>
      </c>
      <c r="C8" s="3">
        <v>45613.0</v>
      </c>
      <c r="D8" s="2">
        <v>102.0</v>
      </c>
      <c r="E8" s="2">
        <v>0.0</v>
      </c>
      <c r="F8" s="2">
        <f t="shared" si="1"/>
        <v>1</v>
      </c>
    </row>
    <row r="9">
      <c r="A9" s="2">
        <v>8.0</v>
      </c>
      <c r="B9" s="2" t="s">
        <v>13</v>
      </c>
      <c r="C9" s="3">
        <v>45613.0</v>
      </c>
      <c r="D9" s="2">
        <v>289.0</v>
      </c>
      <c r="E9" s="2">
        <v>0.0</v>
      </c>
      <c r="F9" s="2">
        <f t="shared" si="1"/>
        <v>1</v>
      </c>
    </row>
    <row r="10">
      <c r="A10" s="2">
        <v>9.0</v>
      </c>
      <c r="B10" s="2" t="s">
        <v>14</v>
      </c>
      <c r="C10" s="3">
        <v>45613.0</v>
      </c>
      <c r="D10" s="2">
        <v>325.0</v>
      </c>
      <c r="E10" s="2">
        <v>0.0</v>
      </c>
      <c r="F10" s="2">
        <f t="shared" si="1"/>
        <v>1</v>
      </c>
    </row>
    <row r="11">
      <c r="A11" s="2">
        <v>10.0</v>
      </c>
      <c r="B11" s="2" t="s">
        <v>15</v>
      </c>
      <c r="C11" s="3">
        <v>45613.0</v>
      </c>
      <c r="D11" s="2">
        <v>154.0</v>
      </c>
      <c r="E11" s="2">
        <v>0.0</v>
      </c>
      <c r="F11" s="2">
        <f t="shared" si="1"/>
        <v>1</v>
      </c>
    </row>
    <row r="12">
      <c r="A12" s="2">
        <v>11.0</v>
      </c>
      <c r="B12" s="2" t="s">
        <v>16</v>
      </c>
      <c r="C12" s="3">
        <v>45613.0</v>
      </c>
      <c r="D12" s="2">
        <v>110.0</v>
      </c>
      <c r="E12" s="2">
        <v>0.0</v>
      </c>
      <c r="F12" s="2">
        <f t="shared" si="1"/>
        <v>1</v>
      </c>
    </row>
    <row r="13">
      <c r="A13" s="2">
        <v>12.0</v>
      </c>
      <c r="B13" s="2" t="s">
        <v>17</v>
      </c>
      <c r="C13" s="3">
        <v>45613.0</v>
      </c>
      <c r="D13" s="2">
        <v>134.0</v>
      </c>
      <c r="E13" s="2">
        <v>0.0</v>
      </c>
      <c r="F13" s="2">
        <f t="shared" si="1"/>
        <v>1</v>
      </c>
    </row>
    <row r="14">
      <c r="A14" s="2">
        <v>13.0</v>
      </c>
      <c r="B14" s="2" t="s">
        <v>18</v>
      </c>
      <c r="C14" s="3">
        <v>45613.0</v>
      </c>
      <c r="D14" s="2">
        <v>244.0</v>
      </c>
      <c r="E14" s="2">
        <v>0.0</v>
      </c>
      <c r="F14" s="2">
        <f t="shared" si="1"/>
        <v>1</v>
      </c>
    </row>
    <row r="15">
      <c r="A15" s="2">
        <v>14.0</v>
      </c>
      <c r="B15" s="2" t="s">
        <v>19</v>
      </c>
      <c r="C15" s="3">
        <v>45613.0</v>
      </c>
      <c r="D15" s="2">
        <v>256.0</v>
      </c>
      <c r="E15" s="2">
        <v>0.0</v>
      </c>
      <c r="F15" s="2">
        <f t="shared" si="1"/>
        <v>1</v>
      </c>
    </row>
    <row r="16">
      <c r="A16" s="2">
        <v>15.0</v>
      </c>
      <c r="B16" s="2" t="s">
        <v>20</v>
      </c>
      <c r="C16" s="3">
        <v>45613.0</v>
      </c>
      <c r="D16" s="2">
        <v>176.0</v>
      </c>
      <c r="E16" s="2">
        <v>0.0</v>
      </c>
      <c r="F16" s="2">
        <f t="shared" si="1"/>
        <v>1</v>
      </c>
    </row>
    <row r="17">
      <c r="A17" s="2">
        <v>16.0</v>
      </c>
      <c r="B17" s="2" t="s">
        <v>21</v>
      </c>
      <c r="C17" s="3">
        <v>45613.0</v>
      </c>
      <c r="D17" s="2">
        <v>134.0</v>
      </c>
      <c r="E17" s="2">
        <v>0.0</v>
      </c>
      <c r="F17" s="2">
        <f t="shared" si="1"/>
        <v>1</v>
      </c>
    </row>
    <row r="18">
      <c r="A18" s="2">
        <v>17.0</v>
      </c>
      <c r="B18" s="2" t="s">
        <v>22</v>
      </c>
      <c r="C18" s="3">
        <v>45613.0</v>
      </c>
      <c r="D18" s="2">
        <v>203.0</v>
      </c>
      <c r="E18" s="2">
        <v>0.0</v>
      </c>
      <c r="F18" s="2">
        <f t="shared" si="1"/>
        <v>1</v>
      </c>
    </row>
    <row r="19">
      <c r="A19" s="2">
        <v>18.0</v>
      </c>
      <c r="B19" s="2" t="s">
        <v>23</v>
      </c>
      <c r="C19" s="3">
        <v>45613.0</v>
      </c>
      <c r="D19" s="2">
        <v>185.0</v>
      </c>
      <c r="E19" s="2">
        <v>0.0</v>
      </c>
      <c r="F19" s="2">
        <f t="shared" si="1"/>
        <v>1</v>
      </c>
    </row>
    <row r="20">
      <c r="A20" s="2">
        <v>19.0</v>
      </c>
      <c r="B20" s="2" t="s">
        <v>24</v>
      </c>
      <c r="C20" s="3">
        <v>45613.0</v>
      </c>
      <c r="D20" s="2">
        <v>256.0</v>
      </c>
      <c r="E20" s="2">
        <v>0.0</v>
      </c>
      <c r="F20" s="2">
        <f t="shared" si="1"/>
        <v>1</v>
      </c>
    </row>
    <row r="21">
      <c r="A21" s="2">
        <v>20.0</v>
      </c>
      <c r="B21" s="2" t="s">
        <v>25</v>
      </c>
      <c r="C21" s="3">
        <v>45613.0</v>
      </c>
      <c r="D21" s="2">
        <v>178.0</v>
      </c>
      <c r="E21" s="2">
        <v>0.0</v>
      </c>
      <c r="F21" s="2">
        <f t="shared" si="1"/>
        <v>1</v>
      </c>
    </row>
    <row r="22">
      <c r="A22" s="2">
        <v>21.0</v>
      </c>
      <c r="B22" s="2" t="s">
        <v>26</v>
      </c>
      <c r="C22" s="3">
        <v>45613.0</v>
      </c>
      <c r="D22" s="2">
        <v>167.0</v>
      </c>
      <c r="E22" s="2">
        <v>0.0</v>
      </c>
      <c r="F22" s="2">
        <f t="shared" si="1"/>
        <v>1</v>
      </c>
    </row>
    <row r="23">
      <c r="A23" s="2">
        <v>22.0</v>
      </c>
      <c r="B23" s="2" t="s">
        <v>27</v>
      </c>
      <c r="C23" s="3">
        <v>45613.0</v>
      </c>
      <c r="D23" s="2">
        <v>209.0</v>
      </c>
      <c r="E23" s="2">
        <v>0.0</v>
      </c>
      <c r="F23" s="2">
        <f t="shared" si="1"/>
        <v>1</v>
      </c>
    </row>
    <row r="24">
      <c r="A24" s="2">
        <v>23.0</v>
      </c>
      <c r="B24" s="2" t="s">
        <v>28</v>
      </c>
      <c r="C24" s="3">
        <v>45613.0</v>
      </c>
      <c r="D24" s="2">
        <v>125.0</v>
      </c>
      <c r="E24" s="2">
        <v>0.0</v>
      </c>
      <c r="F24" s="2">
        <f t="shared" si="1"/>
        <v>1</v>
      </c>
    </row>
    <row r="25">
      <c r="A25" s="2">
        <v>24.0</v>
      </c>
      <c r="B25" s="2" t="s">
        <v>29</v>
      </c>
      <c r="C25" s="3">
        <v>45613.0</v>
      </c>
      <c r="D25" s="2">
        <v>139.0</v>
      </c>
      <c r="E25" s="2">
        <v>0.0</v>
      </c>
      <c r="F25" s="2">
        <f t="shared" si="1"/>
        <v>1</v>
      </c>
    </row>
    <row r="26">
      <c r="A26" s="2">
        <v>25.0</v>
      </c>
      <c r="B26" s="2" t="s">
        <v>30</v>
      </c>
      <c r="C26" s="3">
        <v>45613.0</v>
      </c>
      <c r="D26" s="2">
        <v>134.0</v>
      </c>
      <c r="E26" s="2">
        <v>0.0</v>
      </c>
      <c r="F26" s="2">
        <f t="shared" si="1"/>
        <v>1</v>
      </c>
    </row>
    <row r="27">
      <c r="A27" s="2">
        <v>26.0</v>
      </c>
      <c r="B27" s="2" t="s">
        <v>31</v>
      </c>
      <c r="C27" s="3">
        <v>45613.0</v>
      </c>
      <c r="D27" s="2">
        <v>489.0</v>
      </c>
      <c r="E27" s="2">
        <v>0.0</v>
      </c>
      <c r="F27" s="2">
        <f t="shared" si="1"/>
        <v>1</v>
      </c>
    </row>
    <row r="28">
      <c r="A28" s="2">
        <v>27.0</v>
      </c>
      <c r="B28" s="2" t="s">
        <v>32</v>
      </c>
      <c r="C28" s="3">
        <v>45613.0</v>
      </c>
      <c r="D28" s="2">
        <v>234.0</v>
      </c>
      <c r="E28" s="2">
        <v>0.0</v>
      </c>
      <c r="F28" s="2">
        <f t="shared" si="1"/>
        <v>1</v>
      </c>
    </row>
    <row r="29">
      <c r="A29" s="2">
        <v>28.0</v>
      </c>
      <c r="B29" s="2" t="s">
        <v>33</v>
      </c>
      <c r="C29" s="3">
        <v>45613.0</v>
      </c>
      <c r="D29" s="2">
        <v>167.0</v>
      </c>
      <c r="E29" s="2">
        <v>0.0</v>
      </c>
      <c r="F29" s="2">
        <f t="shared" si="1"/>
        <v>1</v>
      </c>
    </row>
    <row r="30">
      <c r="A30" s="2">
        <v>29.0</v>
      </c>
      <c r="B30" s="2" t="s">
        <v>34</v>
      </c>
      <c r="C30" s="3">
        <v>45613.0</v>
      </c>
      <c r="D30" s="2">
        <v>146.0</v>
      </c>
      <c r="E30" s="2">
        <v>0.0</v>
      </c>
      <c r="F30" s="2">
        <f t="shared" si="1"/>
        <v>1</v>
      </c>
    </row>
    <row r="31">
      <c r="A31" s="2">
        <v>30.0</v>
      </c>
      <c r="B31" s="2" t="s">
        <v>35</v>
      </c>
      <c r="C31" s="3">
        <v>45613.0</v>
      </c>
      <c r="D31" s="2">
        <v>289.0</v>
      </c>
      <c r="E31" s="2">
        <v>0.0</v>
      </c>
      <c r="F31" s="2">
        <f t="shared" si="1"/>
        <v>1</v>
      </c>
    </row>
    <row r="32">
      <c r="A32" s="2">
        <v>31.0</v>
      </c>
      <c r="B32" s="2" t="s">
        <v>36</v>
      </c>
      <c r="C32" s="3">
        <v>45613.0</v>
      </c>
      <c r="D32" s="2">
        <v>276.0</v>
      </c>
      <c r="E32" s="2">
        <v>0.0</v>
      </c>
      <c r="F32" s="2">
        <f t="shared" si="1"/>
        <v>1</v>
      </c>
    </row>
    <row r="33">
      <c r="A33" s="2">
        <v>32.0</v>
      </c>
      <c r="B33" s="2" t="s">
        <v>37</v>
      </c>
      <c r="C33" s="3">
        <v>45613.0</v>
      </c>
      <c r="D33" s="2">
        <v>203.0</v>
      </c>
      <c r="E33" s="2">
        <v>0.0</v>
      </c>
      <c r="F33" s="2">
        <f t="shared" si="1"/>
        <v>1</v>
      </c>
    </row>
    <row r="34">
      <c r="A34" s="2">
        <v>33.0</v>
      </c>
      <c r="B34" s="2" t="s">
        <v>38</v>
      </c>
      <c r="C34" s="3">
        <v>45613.0</v>
      </c>
      <c r="D34" s="2">
        <v>192.0</v>
      </c>
      <c r="E34" s="2">
        <v>0.0</v>
      </c>
      <c r="F34" s="2">
        <f t="shared" si="1"/>
        <v>1</v>
      </c>
    </row>
    <row r="35">
      <c r="A35" s="2">
        <v>34.0</v>
      </c>
      <c r="B35" s="2" t="s">
        <v>39</v>
      </c>
      <c r="C35" s="3">
        <v>45613.0</v>
      </c>
      <c r="D35" s="2">
        <v>267.0</v>
      </c>
      <c r="E35" s="2">
        <v>0.0</v>
      </c>
      <c r="F35" s="2">
        <f t="shared" si="1"/>
        <v>1</v>
      </c>
    </row>
    <row r="36">
      <c r="A36" s="2">
        <v>35.0</v>
      </c>
      <c r="B36" s="2" t="s">
        <v>40</v>
      </c>
      <c r="C36" s="3">
        <v>45613.0</v>
      </c>
      <c r="D36" s="2">
        <v>256.0</v>
      </c>
      <c r="E36" s="2">
        <v>0.0</v>
      </c>
      <c r="F36" s="2">
        <f t="shared" si="1"/>
        <v>1</v>
      </c>
    </row>
    <row r="37">
      <c r="A37" s="2">
        <v>36.0</v>
      </c>
      <c r="B37" s="2" t="s">
        <v>41</v>
      </c>
      <c r="C37" s="3">
        <v>45613.0</v>
      </c>
      <c r="D37" s="2">
        <v>189.0</v>
      </c>
      <c r="E37" s="2">
        <v>0.0</v>
      </c>
      <c r="F37" s="2">
        <f t="shared" si="1"/>
        <v>1</v>
      </c>
    </row>
    <row r="38">
      <c r="A38" s="2">
        <v>37.0</v>
      </c>
      <c r="B38" s="2" t="s">
        <v>42</v>
      </c>
      <c r="C38" s="3">
        <v>45613.0</v>
      </c>
      <c r="D38" s="2">
        <v>355.0</v>
      </c>
      <c r="E38" s="2">
        <v>0.0</v>
      </c>
      <c r="F38" s="2">
        <f t="shared" si="1"/>
        <v>1</v>
      </c>
    </row>
    <row r="39">
      <c r="A39" s="2">
        <v>38.0</v>
      </c>
      <c r="B39" s="2" t="s">
        <v>43</v>
      </c>
      <c r="C39" s="3">
        <v>45613.0</v>
      </c>
      <c r="D39" s="2">
        <v>167.0</v>
      </c>
      <c r="E39" s="2">
        <v>0.0</v>
      </c>
      <c r="F39" s="2">
        <f t="shared" si="1"/>
        <v>1</v>
      </c>
    </row>
    <row r="40">
      <c r="A40" s="2">
        <v>39.0</v>
      </c>
      <c r="B40" s="2" t="s">
        <v>44</v>
      </c>
      <c r="C40" s="3">
        <v>45613.0</v>
      </c>
      <c r="D40" s="2">
        <v>134.0</v>
      </c>
      <c r="E40" s="2">
        <v>0.0</v>
      </c>
      <c r="F40" s="2">
        <f t="shared" si="1"/>
        <v>1</v>
      </c>
    </row>
    <row r="41">
      <c r="A41" s="2">
        <v>40.0</v>
      </c>
      <c r="B41" s="2" t="s">
        <v>45</v>
      </c>
      <c r="C41" s="3">
        <v>45613.0</v>
      </c>
      <c r="D41" s="2">
        <v>203.0</v>
      </c>
      <c r="E41" s="2">
        <v>0.0</v>
      </c>
      <c r="F41" s="2">
        <f t="shared" si="1"/>
        <v>1</v>
      </c>
    </row>
    <row r="42">
      <c r="A42" s="2">
        <v>41.0</v>
      </c>
      <c r="B42" s="2" t="s">
        <v>46</v>
      </c>
      <c r="C42" s="3">
        <v>45613.0</v>
      </c>
      <c r="D42" s="2">
        <v>104.0</v>
      </c>
      <c r="E42" s="2">
        <v>0.0</v>
      </c>
      <c r="F42" s="2">
        <f t="shared" si="1"/>
        <v>1</v>
      </c>
    </row>
    <row r="43">
      <c r="A43" s="2">
        <v>42.0</v>
      </c>
      <c r="B43" s="2" t="s">
        <v>47</v>
      </c>
      <c r="C43" s="3">
        <v>45613.0</v>
      </c>
      <c r="D43" s="2">
        <v>130.0</v>
      </c>
      <c r="E43" s="2">
        <v>0.0</v>
      </c>
      <c r="F43" s="2">
        <f t="shared" si="1"/>
        <v>1</v>
      </c>
    </row>
    <row r="44">
      <c r="A44" s="2">
        <v>43.0</v>
      </c>
      <c r="B44" s="2" t="s">
        <v>48</v>
      </c>
      <c r="C44" s="3">
        <v>45613.0</v>
      </c>
      <c r="D44" s="2">
        <v>245.0</v>
      </c>
      <c r="E44" s="2">
        <v>0.0</v>
      </c>
      <c r="F44" s="2">
        <f t="shared" si="1"/>
        <v>1</v>
      </c>
    </row>
    <row r="45">
      <c r="A45" s="2">
        <v>44.0</v>
      </c>
      <c r="B45" s="2" t="s">
        <v>49</v>
      </c>
      <c r="C45" s="3">
        <v>45613.0</v>
      </c>
      <c r="D45" s="2">
        <v>255.0</v>
      </c>
      <c r="E45" s="2">
        <v>0.0</v>
      </c>
      <c r="F45" s="2">
        <f t="shared" si="1"/>
        <v>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45607.0</v>
      </c>
      <c r="D2" s="2">
        <v>79.0</v>
      </c>
      <c r="E2" s="2">
        <v>0.0</v>
      </c>
      <c r="F2" s="2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45607.0</v>
      </c>
      <c r="D3" s="2">
        <v>0.0</v>
      </c>
      <c r="E3" s="2">
        <v>0.0</v>
      </c>
      <c r="F3" s="2">
        <f t="shared" si="1"/>
        <v>0</v>
      </c>
    </row>
    <row r="4">
      <c r="A4" s="2">
        <v>3.0</v>
      </c>
      <c r="B4" s="2" t="s">
        <v>8</v>
      </c>
      <c r="C4" s="3">
        <v>45607.0</v>
      </c>
      <c r="D4" s="2">
        <v>8.0</v>
      </c>
      <c r="E4" s="2">
        <v>0.0</v>
      </c>
      <c r="F4" s="2">
        <f t="shared" si="1"/>
        <v>1</v>
      </c>
    </row>
    <row r="5">
      <c r="A5" s="2">
        <v>4.0</v>
      </c>
      <c r="B5" s="2" t="s">
        <v>9</v>
      </c>
      <c r="C5" s="3">
        <v>45607.0</v>
      </c>
      <c r="D5" s="2">
        <v>0.0</v>
      </c>
      <c r="E5" s="2">
        <v>0.0</v>
      </c>
      <c r="F5" s="2">
        <f t="shared" si="1"/>
        <v>0</v>
      </c>
    </row>
    <row r="6">
      <c r="A6" s="2">
        <v>5.0</v>
      </c>
      <c r="B6" s="2" t="s">
        <v>10</v>
      </c>
      <c r="C6" s="3">
        <v>45607.0</v>
      </c>
      <c r="D6" s="2">
        <v>0.0</v>
      </c>
      <c r="E6" s="2">
        <v>0.0</v>
      </c>
      <c r="F6" s="2">
        <f t="shared" si="1"/>
        <v>0</v>
      </c>
    </row>
    <row r="7">
      <c r="A7" s="2">
        <v>6.0</v>
      </c>
      <c r="B7" s="2" t="s">
        <v>11</v>
      </c>
      <c r="C7" s="3">
        <v>45607.0</v>
      </c>
      <c r="D7" s="2">
        <v>196.0</v>
      </c>
      <c r="E7" s="2">
        <v>0.0</v>
      </c>
      <c r="F7" s="2">
        <f t="shared" si="1"/>
        <v>1</v>
      </c>
    </row>
    <row r="8">
      <c r="A8" s="2">
        <v>7.0</v>
      </c>
      <c r="B8" s="2" t="s">
        <v>12</v>
      </c>
      <c r="C8" s="3">
        <v>45607.0</v>
      </c>
      <c r="D8" s="2">
        <v>0.0</v>
      </c>
      <c r="E8" s="2">
        <v>0.0</v>
      </c>
      <c r="F8" s="2">
        <f t="shared" si="1"/>
        <v>0</v>
      </c>
    </row>
    <row r="9">
      <c r="A9" s="2">
        <v>8.0</v>
      </c>
      <c r="B9" s="2" t="s">
        <v>13</v>
      </c>
      <c r="C9" s="3">
        <v>45607.0</v>
      </c>
      <c r="D9" s="2">
        <v>99.0</v>
      </c>
      <c r="E9" s="2">
        <v>0.0</v>
      </c>
      <c r="F9" s="2">
        <f t="shared" si="1"/>
        <v>1</v>
      </c>
    </row>
    <row r="10">
      <c r="A10" s="2">
        <v>9.0</v>
      </c>
      <c r="B10" s="2" t="s">
        <v>14</v>
      </c>
      <c r="C10" s="3">
        <v>45607.0</v>
      </c>
      <c r="D10" s="2">
        <v>69.0</v>
      </c>
      <c r="E10" s="2">
        <v>0.0</v>
      </c>
      <c r="F10" s="2">
        <f t="shared" si="1"/>
        <v>1</v>
      </c>
    </row>
    <row r="11">
      <c r="A11" s="2">
        <v>10.0</v>
      </c>
      <c r="B11" s="2" t="s">
        <v>15</v>
      </c>
      <c r="C11" s="3">
        <v>45607.0</v>
      </c>
      <c r="D11" s="2">
        <v>0.0</v>
      </c>
      <c r="E11" s="2">
        <v>0.0</v>
      </c>
      <c r="F11" s="2">
        <f t="shared" si="1"/>
        <v>0</v>
      </c>
    </row>
    <row r="12">
      <c r="A12" s="2">
        <v>11.0</v>
      </c>
      <c r="B12" s="2" t="s">
        <v>16</v>
      </c>
      <c r="C12" s="3">
        <v>45607.0</v>
      </c>
      <c r="D12" s="2">
        <v>0.0</v>
      </c>
      <c r="E12" s="2">
        <v>0.0</v>
      </c>
      <c r="F12" s="2">
        <f t="shared" si="1"/>
        <v>0</v>
      </c>
    </row>
    <row r="13">
      <c r="A13" s="2">
        <v>12.0</v>
      </c>
      <c r="B13" s="2" t="s">
        <v>17</v>
      </c>
      <c r="C13" s="3">
        <v>45607.0</v>
      </c>
      <c r="D13" s="2">
        <v>0.0</v>
      </c>
      <c r="E13" s="2">
        <v>0.0</v>
      </c>
      <c r="F13" s="2">
        <f t="shared" si="1"/>
        <v>0</v>
      </c>
    </row>
    <row r="14">
      <c r="A14" s="2">
        <v>13.0</v>
      </c>
      <c r="B14" s="2" t="s">
        <v>18</v>
      </c>
      <c r="C14" s="3">
        <v>45607.0</v>
      </c>
      <c r="D14" s="2">
        <v>67.0</v>
      </c>
      <c r="E14" s="2">
        <v>0.0</v>
      </c>
      <c r="F14" s="2">
        <f t="shared" si="1"/>
        <v>1</v>
      </c>
    </row>
    <row r="15">
      <c r="A15" s="2">
        <v>14.0</v>
      </c>
      <c r="B15" s="2" t="s">
        <v>19</v>
      </c>
      <c r="C15" s="3">
        <v>45607.0</v>
      </c>
      <c r="D15" s="2">
        <v>0.0</v>
      </c>
      <c r="E15" s="2">
        <v>0.0</v>
      </c>
      <c r="F15" s="2">
        <f t="shared" si="1"/>
        <v>0</v>
      </c>
    </row>
    <row r="16">
      <c r="A16" s="2">
        <v>15.0</v>
      </c>
      <c r="B16" s="2" t="s">
        <v>20</v>
      </c>
      <c r="C16" s="3">
        <v>45607.0</v>
      </c>
      <c r="D16" s="2">
        <v>0.0</v>
      </c>
      <c r="E16" s="2">
        <v>0.0</v>
      </c>
      <c r="F16" s="2">
        <f t="shared" si="1"/>
        <v>0</v>
      </c>
    </row>
    <row r="17">
      <c r="A17" s="2">
        <v>16.0</v>
      </c>
      <c r="B17" s="2" t="s">
        <v>21</v>
      </c>
      <c r="C17" s="3">
        <v>45607.0</v>
      </c>
      <c r="D17" s="2">
        <v>0.0</v>
      </c>
      <c r="E17" s="2">
        <v>0.0</v>
      </c>
      <c r="F17" s="2">
        <f t="shared" si="1"/>
        <v>0</v>
      </c>
    </row>
    <row r="18">
      <c r="A18" s="2">
        <v>17.0</v>
      </c>
      <c r="B18" s="2" t="s">
        <v>22</v>
      </c>
      <c r="C18" s="3">
        <v>45607.0</v>
      </c>
      <c r="D18" s="2">
        <v>62.0</v>
      </c>
      <c r="E18" s="2">
        <v>0.0</v>
      </c>
      <c r="F18" s="2">
        <f t="shared" si="1"/>
        <v>1</v>
      </c>
    </row>
    <row r="19">
      <c r="A19" s="2">
        <v>18.0</v>
      </c>
      <c r="B19" s="2" t="s">
        <v>23</v>
      </c>
      <c r="C19" s="3">
        <v>45607.0</v>
      </c>
      <c r="D19" s="2">
        <v>0.0</v>
      </c>
      <c r="E19" s="2">
        <v>0.0</v>
      </c>
      <c r="F19" s="2">
        <f t="shared" si="1"/>
        <v>0</v>
      </c>
    </row>
    <row r="20">
      <c r="A20" s="2">
        <v>19.0</v>
      </c>
      <c r="B20" s="2" t="s">
        <v>24</v>
      </c>
      <c r="C20" s="3">
        <v>45607.0</v>
      </c>
      <c r="D20" s="2">
        <v>0.0</v>
      </c>
      <c r="E20" s="2">
        <v>0.0</v>
      </c>
      <c r="F20" s="2">
        <f t="shared" si="1"/>
        <v>0</v>
      </c>
    </row>
    <row r="21">
      <c r="A21" s="2">
        <v>20.0</v>
      </c>
      <c r="B21" s="2" t="s">
        <v>25</v>
      </c>
      <c r="C21" s="3">
        <v>45607.0</v>
      </c>
      <c r="D21" s="2">
        <v>0.0</v>
      </c>
      <c r="E21" s="2">
        <v>0.0</v>
      </c>
      <c r="F21" s="2">
        <f t="shared" si="1"/>
        <v>0</v>
      </c>
    </row>
    <row r="22">
      <c r="A22" s="2">
        <v>21.0</v>
      </c>
      <c r="B22" s="2" t="s">
        <v>26</v>
      </c>
      <c r="C22" s="3">
        <v>45607.0</v>
      </c>
      <c r="D22" s="2">
        <v>0.0</v>
      </c>
      <c r="E22" s="2">
        <v>0.0</v>
      </c>
      <c r="F22" s="2">
        <f t="shared" si="1"/>
        <v>0</v>
      </c>
    </row>
    <row r="23">
      <c r="A23" s="2">
        <v>22.0</v>
      </c>
      <c r="B23" s="2" t="s">
        <v>27</v>
      </c>
      <c r="C23" s="3">
        <v>45607.0</v>
      </c>
      <c r="D23" s="2">
        <v>0.0</v>
      </c>
      <c r="E23" s="2">
        <v>0.0</v>
      </c>
      <c r="F23" s="2">
        <f t="shared" si="1"/>
        <v>0</v>
      </c>
    </row>
    <row r="24">
      <c r="A24" s="2">
        <v>23.0</v>
      </c>
      <c r="B24" s="2" t="s">
        <v>28</v>
      </c>
      <c r="C24" s="3">
        <v>45607.0</v>
      </c>
      <c r="D24" s="2">
        <v>0.0</v>
      </c>
      <c r="E24" s="2">
        <v>0.0</v>
      </c>
      <c r="F24" s="2">
        <f t="shared" si="1"/>
        <v>0</v>
      </c>
    </row>
    <row r="25">
      <c r="A25" s="2">
        <v>24.0</v>
      </c>
      <c r="B25" s="2" t="s">
        <v>29</v>
      </c>
      <c r="C25" s="3">
        <v>45607.0</v>
      </c>
      <c r="D25" s="2">
        <v>0.0</v>
      </c>
      <c r="E25" s="2">
        <v>0.0</v>
      </c>
      <c r="F25" s="2">
        <f t="shared" si="1"/>
        <v>0</v>
      </c>
    </row>
    <row r="26">
      <c r="A26" s="2">
        <v>25.0</v>
      </c>
      <c r="B26" s="2" t="s">
        <v>30</v>
      </c>
      <c r="C26" s="3">
        <v>45607.0</v>
      </c>
      <c r="D26" s="2">
        <v>0.0</v>
      </c>
      <c r="E26" s="2">
        <v>0.0</v>
      </c>
      <c r="F26" s="2">
        <f t="shared" si="1"/>
        <v>0</v>
      </c>
    </row>
    <row r="27">
      <c r="A27" s="2">
        <v>26.0</v>
      </c>
      <c r="B27" s="2" t="s">
        <v>31</v>
      </c>
      <c r="C27" s="3">
        <v>45607.0</v>
      </c>
      <c r="D27" s="2">
        <v>22.0</v>
      </c>
      <c r="E27" s="2">
        <v>0.0</v>
      </c>
      <c r="F27" s="2">
        <f t="shared" si="1"/>
        <v>1</v>
      </c>
    </row>
    <row r="28">
      <c r="A28" s="2">
        <v>27.0</v>
      </c>
      <c r="B28" s="2" t="s">
        <v>32</v>
      </c>
      <c r="C28" s="3">
        <v>45607.0</v>
      </c>
      <c r="D28" s="2">
        <v>30.0</v>
      </c>
      <c r="E28" s="2">
        <v>0.0</v>
      </c>
      <c r="F28" s="2">
        <f t="shared" si="1"/>
        <v>1</v>
      </c>
    </row>
    <row r="29">
      <c r="A29" s="2">
        <v>28.0</v>
      </c>
      <c r="B29" s="2" t="s">
        <v>33</v>
      </c>
      <c r="C29" s="3">
        <v>45607.0</v>
      </c>
      <c r="D29" s="2">
        <v>0.0</v>
      </c>
      <c r="E29" s="2">
        <v>0.0</v>
      </c>
      <c r="F29" s="2">
        <f t="shared" si="1"/>
        <v>0</v>
      </c>
    </row>
    <row r="30">
      <c r="A30" s="2">
        <v>29.0</v>
      </c>
      <c r="B30" s="2" t="s">
        <v>34</v>
      </c>
      <c r="C30" s="3">
        <v>45607.0</v>
      </c>
      <c r="D30" s="2">
        <v>0.0</v>
      </c>
      <c r="E30" s="2">
        <v>0.0</v>
      </c>
      <c r="F30" s="2">
        <f t="shared" si="1"/>
        <v>0</v>
      </c>
    </row>
    <row r="31">
      <c r="A31" s="2">
        <v>30.0</v>
      </c>
      <c r="B31" s="2" t="s">
        <v>35</v>
      </c>
      <c r="C31" s="3">
        <v>45607.0</v>
      </c>
      <c r="D31" s="2">
        <v>0.0</v>
      </c>
      <c r="E31" s="2">
        <v>0.0</v>
      </c>
      <c r="F31" s="2">
        <f t="shared" si="1"/>
        <v>0</v>
      </c>
    </row>
    <row r="32">
      <c r="A32" s="2">
        <v>31.0</v>
      </c>
      <c r="B32" s="2" t="s">
        <v>36</v>
      </c>
      <c r="C32" s="3">
        <v>45607.0</v>
      </c>
      <c r="D32" s="2">
        <v>0.0</v>
      </c>
      <c r="E32" s="2">
        <v>0.0</v>
      </c>
      <c r="F32" s="2">
        <f t="shared" si="1"/>
        <v>0</v>
      </c>
    </row>
    <row r="33">
      <c r="A33" s="2">
        <v>32.0</v>
      </c>
      <c r="B33" s="2" t="s">
        <v>37</v>
      </c>
      <c r="C33" s="3">
        <v>45607.0</v>
      </c>
      <c r="D33" s="2">
        <v>0.0</v>
      </c>
      <c r="E33" s="2">
        <v>0.0</v>
      </c>
      <c r="F33" s="2">
        <f t="shared" si="1"/>
        <v>0</v>
      </c>
    </row>
    <row r="34">
      <c r="A34" s="2">
        <v>33.0</v>
      </c>
      <c r="B34" s="2" t="s">
        <v>38</v>
      </c>
      <c r="C34" s="3">
        <v>45607.0</v>
      </c>
      <c r="D34" s="2">
        <v>0.0</v>
      </c>
      <c r="E34" s="2">
        <v>0.0</v>
      </c>
      <c r="F34" s="2">
        <f t="shared" si="1"/>
        <v>0</v>
      </c>
    </row>
    <row r="35">
      <c r="A35" s="2">
        <v>34.0</v>
      </c>
      <c r="B35" s="2" t="s">
        <v>39</v>
      </c>
      <c r="C35" s="3">
        <v>45607.0</v>
      </c>
      <c r="D35" s="2">
        <v>0.0</v>
      </c>
      <c r="E35" s="2">
        <v>0.0</v>
      </c>
      <c r="F35" s="2">
        <f t="shared" si="1"/>
        <v>0</v>
      </c>
    </row>
    <row r="36">
      <c r="A36" s="2">
        <v>35.0</v>
      </c>
      <c r="B36" s="2" t="s">
        <v>40</v>
      </c>
      <c r="C36" s="3">
        <v>45607.0</v>
      </c>
      <c r="D36" s="2">
        <v>0.0</v>
      </c>
      <c r="E36" s="2">
        <v>0.0</v>
      </c>
      <c r="F36" s="2">
        <f t="shared" si="1"/>
        <v>0</v>
      </c>
    </row>
    <row r="37">
      <c r="A37" s="2">
        <v>36.0</v>
      </c>
      <c r="B37" s="2" t="s">
        <v>41</v>
      </c>
      <c r="C37" s="3">
        <v>45607.0</v>
      </c>
      <c r="D37" s="2">
        <v>35.0</v>
      </c>
      <c r="E37" s="2">
        <v>0.0</v>
      </c>
      <c r="F37" s="2">
        <f t="shared" si="1"/>
        <v>1</v>
      </c>
    </row>
    <row r="38">
      <c r="A38" s="2">
        <v>37.0</v>
      </c>
      <c r="B38" s="2" t="s">
        <v>42</v>
      </c>
      <c r="C38" s="3">
        <v>45607.0</v>
      </c>
      <c r="D38" s="2">
        <v>135.0</v>
      </c>
      <c r="E38" s="2">
        <v>0.0</v>
      </c>
      <c r="F38" s="2">
        <f t="shared" si="1"/>
        <v>1</v>
      </c>
    </row>
    <row r="39">
      <c r="A39" s="2">
        <v>38.0</v>
      </c>
      <c r="B39" s="2" t="s">
        <v>43</v>
      </c>
      <c r="C39" s="3">
        <v>45607.0</v>
      </c>
      <c r="D39" s="2">
        <v>0.0</v>
      </c>
      <c r="E39" s="2">
        <v>0.0</v>
      </c>
      <c r="F39" s="2">
        <f t="shared" si="1"/>
        <v>0</v>
      </c>
    </row>
    <row r="40">
      <c r="A40" s="2">
        <v>39.0</v>
      </c>
      <c r="B40" s="2" t="s">
        <v>44</v>
      </c>
      <c r="C40" s="3">
        <v>45607.0</v>
      </c>
      <c r="D40" s="2">
        <v>4.0</v>
      </c>
      <c r="E40" s="2">
        <v>0.0</v>
      </c>
      <c r="F40" s="2">
        <f t="shared" si="1"/>
        <v>1</v>
      </c>
    </row>
    <row r="41">
      <c r="A41" s="2">
        <v>40.0</v>
      </c>
      <c r="B41" s="2" t="s">
        <v>45</v>
      </c>
      <c r="C41" s="3">
        <v>45607.0</v>
      </c>
      <c r="D41" s="2">
        <v>0.0</v>
      </c>
      <c r="E41" s="2">
        <v>0.0</v>
      </c>
      <c r="F41" s="2">
        <f t="shared" si="1"/>
        <v>0</v>
      </c>
    </row>
    <row r="42">
      <c r="A42" s="2">
        <v>41.0</v>
      </c>
      <c r="B42" s="2" t="s">
        <v>46</v>
      </c>
      <c r="C42" s="3">
        <v>45607.0</v>
      </c>
      <c r="D42" s="2">
        <v>0.0</v>
      </c>
      <c r="E42" s="2">
        <v>0.0</v>
      </c>
      <c r="F42" s="2">
        <f t="shared" si="1"/>
        <v>0</v>
      </c>
    </row>
    <row r="43">
      <c r="A43" s="2">
        <v>42.0</v>
      </c>
      <c r="B43" s="2" t="s">
        <v>47</v>
      </c>
      <c r="C43" s="3">
        <v>45607.0</v>
      </c>
      <c r="D43" s="2">
        <v>0.0</v>
      </c>
      <c r="E43" s="2">
        <v>0.0</v>
      </c>
      <c r="F43" s="2">
        <f t="shared" si="1"/>
        <v>0</v>
      </c>
    </row>
    <row r="44">
      <c r="A44" s="2">
        <v>43.0</v>
      </c>
      <c r="B44" s="2" t="s">
        <v>48</v>
      </c>
      <c r="C44" s="3">
        <v>45607.0</v>
      </c>
      <c r="D44" s="2">
        <v>54.0</v>
      </c>
      <c r="E44" s="2">
        <v>0.0</v>
      </c>
      <c r="F44" s="2">
        <f t="shared" si="1"/>
        <v>1</v>
      </c>
    </row>
    <row r="45">
      <c r="A45" s="2">
        <v>44.0</v>
      </c>
      <c r="B45" s="2" t="s">
        <v>49</v>
      </c>
      <c r="C45" s="3">
        <v>45607.0</v>
      </c>
      <c r="D45" s="2">
        <v>0.0</v>
      </c>
      <c r="E45" s="2">
        <v>0.0</v>
      </c>
      <c r="F45" s="2">
        <f t="shared" si="1"/>
        <v>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45600.0</v>
      </c>
      <c r="D2" s="2">
        <v>180.0</v>
      </c>
      <c r="E2" s="2">
        <v>0.0</v>
      </c>
      <c r="F2" s="2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45600.0</v>
      </c>
      <c r="D3" s="2">
        <v>119.0</v>
      </c>
      <c r="E3" s="2">
        <v>0.0</v>
      </c>
      <c r="F3" s="2">
        <f t="shared" si="1"/>
        <v>1</v>
      </c>
    </row>
    <row r="4">
      <c r="A4" s="2">
        <v>3.0</v>
      </c>
      <c r="B4" s="2" t="s">
        <v>8</v>
      </c>
      <c r="C4" s="3">
        <v>45600.0</v>
      </c>
      <c r="D4" s="2">
        <v>320.0</v>
      </c>
      <c r="E4" s="2">
        <v>0.0</v>
      </c>
      <c r="F4" s="2">
        <f t="shared" si="1"/>
        <v>1</v>
      </c>
    </row>
    <row r="5">
      <c r="A5" s="2">
        <v>4.0</v>
      </c>
      <c r="B5" s="2" t="s">
        <v>9</v>
      </c>
      <c r="C5" s="3">
        <v>45600.0</v>
      </c>
      <c r="D5" s="2">
        <v>0.0</v>
      </c>
      <c r="E5" s="2">
        <v>0.0</v>
      </c>
      <c r="F5" s="2">
        <f t="shared" si="1"/>
        <v>0</v>
      </c>
    </row>
    <row r="6">
      <c r="A6" s="2">
        <v>5.0</v>
      </c>
      <c r="B6" s="2" t="s">
        <v>10</v>
      </c>
      <c r="C6" s="3">
        <v>45600.0</v>
      </c>
      <c r="D6" s="2">
        <v>3.0</v>
      </c>
      <c r="E6" s="2">
        <v>0.0</v>
      </c>
      <c r="F6" s="2">
        <f t="shared" si="1"/>
        <v>1</v>
      </c>
    </row>
    <row r="7">
      <c r="A7" s="2">
        <v>6.0</v>
      </c>
      <c r="B7" s="2" t="s">
        <v>11</v>
      </c>
      <c r="C7" s="3">
        <v>45600.0</v>
      </c>
      <c r="D7" s="2">
        <v>240.0</v>
      </c>
      <c r="E7" s="2">
        <v>0.0</v>
      </c>
      <c r="F7" s="2">
        <f t="shared" si="1"/>
        <v>1</v>
      </c>
    </row>
    <row r="8">
      <c r="A8" s="2">
        <v>7.0</v>
      </c>
      <c r="B8" s="2" t="s">
        <v>12</v>
      </c>
      <c r="C8" s="3">
        <v>45600.0</v>
      </c>
      <c r="D8" s="2">
        <v>50.0</v>
      </c>
      <c r="E8" s="2">
        <v>0.0</v>
      </c>
      <c r="F8" s="2">
        <f t="shared" si="1"/>
        <v>1</v>
      </c>
    </row>
    <row r="9">
      <c r="A9" s="2">
        <v>8.0</v>
      </c>
      <c r="B9" s="2" t="s">
        <v>13</v>
      </c>
      <c r="C9" s="3">
        <v>45600.0</v>
      </c>
      <c r="D9" s="2">
        <v>349.0</v>
      </c>
      <c r="E9" s="2">
        <v>0.0</v>
      </c>
      <c r="F9" s="2">
        <f t="shared" si="1"/>
        <v>1</v>
      </c>
    </row>
    <row r="10">
      <c r="A10" s="2">
        <v>9.0</v>
      </c>
      <c r="B10" s="2" t="s">
        <v>14</v>
      </c>
      <c r="C10" s="3">
        <v>45600.0</v>
      </c>
      <c r="D10" s="2">
        <v>548.0</v>
      </c>
      <c r="E10" s="2">
        <v>0.0</v>
      </c>
      <c r="F10" s="2">
        <f t="shared" si="1"/>
        <v>1</v>
      </c>
    </row>
    <row r="11">
      <c r="A11" s="2">
        <v>10.0</v>
      </c>
      <c r="B11" s="2" t="s">
        <v>15</v>
      </c>
      <c r="C11" s="3">
        <v>45600.0</v>
      </c>
      <c r="D11" s="2">
        <v>285.0</v>
      </c>
      <c r="E11" s="2">
        <v>0.0</v>
      </c>
      <c r="F11" s="2">
        <f t="shared" si="1"/>
        <v>1</v>
      </c>
    </row>
    <row r="12">
      <c r="A12" s="2">
        <v>11.0</v>
      </c>
      <c r="B12" s="2" t="s">
        <v>16</v>
      </c>
      <c r="C12" s="3">
        <v>45600.0</v>
      </c>
      <c r="D12" s="2">
        <v>125.0</v>
      </c>
      <c r="E12" s="2">
        <v>0.0</v>
      </c>
      <c r="F12" s="2">
        <f t="shared" si="1"/>
        <v>1</v>
      </c>
    </row>
    <row r="13">
      <c r="A13" s="2">
        <v>12.0</v>
      </c>
      <c r="B13" s="2" t="s">
        <v>17</v>
      </c>
      <c r="C13" s="3">
        <v>45600.0</v>
      </c>
      <c r="D13" s="2">
        <v>102.0</v>
      </c>
      <c r="E13" s="2">
        <v>0.0</v>
      </c>
      <c r="F13" s="2">
        <f t="shared" si="1"/>
        <v>1</v>
      </c>
    </row>
    <row r="14">
      <c r="A14" s="2">
        <v>13.0</v>
      </c>
      <c r="B14" s="2" t="s">
        <v>18</v>
      </c>
      <c r="C14" s="3">
        <v>45600.0</v>
      </c>
      <c r="D14" s="2">
        <v>277.0</v>
      </c>
      <c r="E14" s="2">
        <v>0.0</v>
      </c>
      <c r="F14" s="2">
        <f t="shared" si="1"/>
        <v>1</v>
      </c>
    </row>
    <row r="15">
      <c r="A15" s="2">
        <v>14.0</v>
      </c>
      <c r="B15" s="2" t="s">
        <v>19</v>
      </c>
      <c r="C15" s="3">
        <v>45600.0</v>
      </c>
      <c r="D15" s="2">
        <v>123.0</v>
      </c>
      <c r="E15" s="2">
        <v>0.0</v>
      </c>
      <c r="F15" s="2">
        <f t="shared" si="1"/>
        <v>1</v>
      </c>
    </row>
    <row r="16">
      <c r="A16" s="2">
        <v>15.0</v>
      </c>
      <c r="B16" s="2" t="s">
        <v>20</v>
      </c>
      <c r="C16" s="3">
        <v>45600.0</v>
      </c>
      <c r="D16" s="2">
        <v>0.0</v>
      </c>
      <c r="E16" s="2">
        <v>0.0</v>
      </c>
      <c r="F16" s="2">
        <f t="shared" si="1"/>
        <v>0</v>
      </c>
    </row>
    <row r="17">
      <c r="A17" s="2">
        <v>16.0</v>
      </c>
      <c r="B17" s="2" t="s">
        <v>21</v>
      </c>
      <c r="C17" s="3">
        <v>45600.0</v>
      </c>
      <c r="D17" s="2">
        <v>160.0</v>
      </c>
      <c r="E17" s="2">
        <v>0.0</v>
      </c>
      <c r="F17" s="2">
        <f t="shared" si="1"/>
        <v>1</v>
      </c>
    </row>
    <row r="18">
      <c r="A18" s="2">
        <v>17.0</v>
      </c>
      <c r="B18" s="2" t="s">
        <v>22</v>
      </c>
      <c r="C18" s="3">
        <v>45600.0</v>
      </c>
      <c r="D18" s="2">
        <v>0.0</v>
      </c>
      <c r="E18" s="2">
        <v>0.0</v>
      </c>
      <c r="F18" s="2">
        <f t="shared" si="1"/>
        <v>0</v>
      </c>
    </row>
    <row r="19">
      <c r="A19" s="2">
        <v>18.0</v>
      </c>
      <c r="B19" s="2" t="s">
        <v>23</v>
      </c>
      <c r="C19" s="3">
        <v>45600.0</v>
      </c>
      <c r="D19" s="2">
        <v>0.0</v>
      </c>
      <c r="E19" s="2">
        <v>0.0</v>
      </c>
      <c r="F19" s="2">
        <f t="shared" si="1"/>
        <v>0</v>
      </c>
    </row>
    <row r="20">
      <c r="A20" s="2">
        <v>19.0</v>
      </c>
      <c r="B20" s="2" t="s">
        <v>24</v>
      </c>
      <c r="C20" s="3">
        <v>45600.0</v>
      </c>
      <c r="D20" s="2">
        <v>0.0</v>
      </c>
      <c r="E20" s="2">
        <v>0.0</v>
      </c>
      <c r="F20" s="2">
        <f t="shared" si="1"/>
        <v>0</v>
      </c>
    </row>
    <row r="21">
      <c r="A21" s="2">
        <v>20.0</v>
      </c>
      <c r="B21" s="2" t="s">
        <v>25</v>
      </c>
      <c r="C21" s="3">
        <v>45600.0</v>
      </c>
      <c r="D21" s="2">
        <v>0.0</v>
      </c>
      <c r="E21" s="2">
        <v>0.0</v>
      </c>
      <c r="F21" s="2">
        <f t="shared" si="1"/>
        <v>0</v>
      </c>
    </row>
    <row r="22">
      <c r="A22" s="2">
        <v>21.0</v>
      </c>
      <c r="B22" s="2" t="s">
        <v>26</v>
      </c>
      <c r="C22" s="3">
        <v>45600.0</v>
      </c>
      <c r="D22" s="2">
        <v>27.0</v>
      </c>
      <c r="E22" s="2">
        <v>0.0</v>
      </c>
      <c r="F22" s="2">
        <f t="shared" si="1"/>
        <v>1</v>
      </c>
    </row>
    <row r="23">
      <c r="A23" s="2">
        <v>22.0</v>
      </c>
      <c r="B23" s="2" t="s">
        <v>27</v>
      </c>
      <c r="C23" s="3">
        <v>45600.0</v>
      </c>
      <c r="D23" s="2">
        <v>440.0</v>
      </c>
      <c r="E23" s="2">
        <v>0.0</v>
      </c>
      <c r="F23" s="2">
        <f t="shared" si="1"/>
        <v>1</v>
      </c>
    </row>
    <row r="24">
      <c r="A24" s="2">
        <v>23.0</v>
      </c>
      <c r="B24" s="2" t="s">
        <v>28</v>
      </c>
      <c r="C24" s="3">
        <v>45600.0</v>
      </c>
      <c r="D24" s="2">
        <v>0.0</v>
      </c>
      <c r="E24" s="2">
        <v>0.0</v>
      </c>
      <c r="F24" s="2">
        <f t="shared" si="1"/>
        <v>0</v>
      </c>
    </row>
    <row r="25">
      <c r="A25" s="2">
        <v>24.0</v>
      </c>
      <c r="B25" s="2" t="s">
        <v>29</v>
      </c>
      <c r="C25" s="3">
        <v>45600.0</v>
      </c>
      <c r="D25" s="2">
        <v>0.0</v>
      </c>
      <c r="E25" s="2">
        <v>0.0</v>
      </c>
      <c r="F25" s="2">
        <f t="shared" si="1"/>
        <v>0</v>
      </c>
    </row>
    <row r="26">
      <c r="A26" s="2">
        <v>25.0</v>
      </c>
      <c r="B26" s="2" t="s">
        <v>30</v>
      </c>
      <c r="C26" s="3">
        <v>45600.0</v>
      </c>
      <c r="D26" s="2">
        <v>20.0</v>
      </c>
      <c r="E26" s="2">
        <v>0.0</v>
      </c>
      <c r="F26" s="2">
        <f t="shared" si="1"/>
        <v>1</v>
      </c>
    </row>
    <row r="27">
      <c r="A27" s="2">
        <v>26.0</v>
      </c>
      <c r="B27" s="2" t="s">
        <v>31</v>
      </c>
      <c r="C27" s="3">
        <v>45600.0</v>
      </c>
      <c r="D27" s="2">
        <v>910.0</v>
      </c>
      <c r="E27" s="2">
        <v>0.0</v>
      </c>
      <c r="F27" s="2">
        <f t="shared" si="1"/>
        <v>1</v>
      </c>
    </row>
    <row r="28">
      <c r="A28" s="2">
        <v>27.0</v>
      </c>
      <c r="B28" s="2" t="s">
        <v>32</v>
      </c>
      <c r="C28" s="3">
        <v>45600.0</v>
      </c>
      <c r="D28" s="2">
        <v>114.0</v>
      </c>
      <c r="E28" s="2">
        <v>0.0</v>
      </c>
      <c r="F28" s="2">
        <f t="shared" si="1"/>
        <v>1</v>
      </c>
    </row>
    <row r="29">
      <c r="A29" s="2">
        <v>28.0</v>
      </c>
      <c r="B29" s="2" t="s">
        <v>33</v>
      </c>
      <c r="C29" s="3">
        <v>45600.0</v>
      </c>
      <c r="D29" s="2">
        <v>0.0</v>
      </c>
      <c r="E29" s="2">
        <v>0.0</v>
      </c>
      <c r="F29" s="2">
        <f t="shared" si="1"/>
        <v>0</v>
      </c>
    </row>
    <row r="30">
      <c r="A30" s="2">
        <v>29.0</v>
      </c>
      <c r="B30" s="2" t="s">
        <v>34</v>
      </c>
      <c r="C30" s="3">
        <v>45600.0</v>
      </c>
      <c r="D30" s="2">
        <v>40.0</v>
      </c>
      <c r="E30" s="2">
        <v>0.0</v>
      </c>
      <c r="F30" s="2">
        <f t="shared" si="1"/>
        <v>1</v>
      </c>
    </row>
    <row r="31">
      <c r="A31" s="2">
        <v>30.0</v>
      </c>
      <c r="B31" s="2" t="s">
        <v>35</v>
      </c>
      <c r="C31" s="3">
        <v>45600.0</v>
      </c>
      <c r="D31" s="2">
        <v>159.0</v>
      </c>
      <c r="E31" s="2">
        <v>0.0</v>
      </c>
      <c r="F31" s="2">
        <f t="shared" si="1"/>
        <v>1</v>
      </c>
    </row>
    <row r="32">
      <c r="A32" s="2">
        <v>31.0</v>
      </c>
      <c r="B32" s="2" t="s">
        <v>36</v>
      </c>
      <c r="C32" s="3">
        <v>45600.0</v>
      </c>
      <c r="D32" s="2">
        <v>352.0</v>
      </c>
      <c r="E32" s="2">
        <v>0.0</v>
      </c>
      <c r="F32" s="2">
        <f t="shared" si="1"/>
        <v>1</v>
      </c>
    </row>
    <row r="33">
      <c r="A33" s="2">
        <v>32.0</v>
      </c>
      <c r="B33" s="2" t="s">
        <v>37</v>
      </c>
      <c r="C33" s="3">
        <v>45600.0</v>
      </c>
      <c r="D33" s="2">
        <v>33.0</v>
      </c>
      <c r="E33" s="2">
        <v>0.0</v>
      </c>
      <c r="F33" s="2">
        <f t="shared" si="1"/>
        <v>1</v>
      </c>
    </row>
    <row r="34">
      <c r="A34" s="2">
        <v>33.0</v>
      </c>
      <c r="B34" s="2" t="s">
        <v>38</v>
      </c>
      <c r="C34" s="3">
        <v>45600.0</v>
      </c>
      <c r="D34" s="2">
        <v>140.0</v>
      </c>
      <c r="E34" s="2">
        <v>0.0</v>
      </c>
      <c r="F34" s="2">
        <f t="shared" si="1"/>
        <v>1</v>
      </c>
    </row>
    <row r="35">
      <c r="A35" s="2">
        <v>34.0</v>
      </c>
      <c r="B35" s="2" t="s">
        <v>39</v>
      </c>
      <c r="C35" s="3">
        <v>45600.0</v>
      </c>
      <c r="D35" s="2">
        <v>70.0</v>
      </c>
      <c r="E35" s="2">
        <v>0.0</v>
      </c>
      <c r="F35" s="2">
        <f t="shared" si="1"/>
        <v>1</v>
      </c>
    </row>
    <row r="36">
      <c r="A36" s="2">
        <v>35.0</v>
      </c>
      <c r="B36" s="2" t="s">
        <v>40</v>
      </c>
      <c r="C36" s="3">
        <v>45600.0</v>
      </c>
      <c r="D36" s="2">
        <v>350.0</v>
      </c>
      <c r="E36" s="2">
        <v>0.0</v>
      </c>
      <c r="F36" s="2">
        <f t="shared" si="1"/>
        <v>1</v>
      </c>
    </row>
    <row r="37">
      <c r="A37" s="2">
        <v>36.0</v>
      </c>
      <c r="B37" s="2" t="s">
        <v>41</v>
      </c>
      <c r="C37" s="3">
        <v>45600.0</v>
      </c>
      <c r="D37" s="2">
        <v>174.0</v>
      </c>
      <c r="E37" s="2">
        <v>0.0</v>
      </c>
      <c r="F37" s="2">
        <f t="shared" si="1"/>
        <v>1</v>
      </c>
    </row>
    <row r="38">
      <c r="A38" s="2">
        <v>37.0</v>
      </c>
      <c r="B38" s="2" t="s">
        <v>42</v>
      </c>
      <c r="C38" s="3">
        <v>45600.0</v>
      </c>
      <c r="D38" s="2">
        <v>793.0</v>
      </c>
      <c r="E38" s="2">
        <v>0.0</v>
      </c>
      <c r="F38" s="2">
        <f t="shared" si="1"/>
        <v>1</v>
      </c>
    </row>
    <row r="39">
      <c r="A39" s="2">
        <v>38.0</v>
      </c>
      <c r="B39" s="2" t="s">
        <v>43</v>
      </c>
      <c r="C39" s="3">
        <v>45600.0</v>
      </c>
      <c r="D39" s="2">
        <v>85.0</v>
      </c>
      <c r="E39" s="2">
        <v>0.0</v>
      </c>
      <c r="F39" s="2">
        <f t="shared" si="1"/>
        <v>1</v>
      </c>
    </row>
    <row r="40">
      <c r="A40" s="2">
        <v>39.0</v>
      </c>
      <c r="B40" s="2" t="s">
        <v>44</v>
      </c>
      <c r="C40" s="3">
        <v>45600.0</v>
      </c>
      <c r="D40" s="2">
        <v>0.0</v>
      </c>
      <c r="E40" s="2">
        <v>0.0</v>
      </c>
      <c r="F40" s="2">
        <f t="shared" si="1"/>
        <v>0</v>
      </c>
    </row>
    <row r="41">
      <c r="A41" s="2">
        <v>40.0</v>
      </c>
      <c r="B41" s="2" t="s">
        <v>45</v>
      </c>
      <c r="C41" s="3">
        <v>45600.0</v>
      </c>
      <c r="D41" s="2">
        <v>251.0</v>
      </c>
      <c r="E41" s="2">
        <v>0.0</v>
      </c>
      <c r="F41" s="2">
        <f t="shared" si="1"/>
        <v>1</v>
      </c>
    </row>
    <row r="42">
      <c r="A42" s="2">
        <v>41.0</v>
      </c>
      <c r="B42" s="2" t="s">
        <v>46</v>
      </c>
      <c r="C42" s="3">
        <v>45600.0</v>
      </c>
      <c r="D42" s="2">
        <v>31.0</v>
      </c>
      <c r="E42" s="2">
        <v>0.0</v>
      </c>
      <c r="F42" s="2">
        <f t="shared" si="1"/>
        <v>1</v>
      </c>
    </row>
    <row r="43">
      <c r="A43" s="2">
        <v>42.0</v>
      </c>
      <c r="B43" s="2" t="s">
        <v>47</v>
      </c>
      <c r="C43" s="3">
        <v>45600.0</v>
      </c>
      <c r="D43" s="2">
        <v>146.0</v>
      </c>
      <c r="E43" s="2">
        <v>0.0</v>
      </c>
      <c r="F43" s="2">
        <f t="shared" si="1"/>
        <v>1</v>
      </c>
    </row>
    <row r="44">
      <c r="A44" s="2">
        <v>43.0</v>
      </c>
      <c r="B44" s="2" t="s">
        <v>48</v>
      </c>
      <c r="C44" s="3">
        <v>45600.0</v>
      </c>
      <c r="D44" s="2">
        <v>450.0</v>
      </c>
      <c r="E44" s="2">
        <v>0.0</v>
      </c>
      <c r="F44" s="2">
        <f t="shared" si="1"/>
        <v>1</v>
      </c>
    </row>
    <row r="45">
      <c r="A45" s="2">
        <v>44.0</v>
      </c>
      <c r="B45" s="2" t="s">
        <v>49</v>
      </c>
      <c r="C45" s="3">
        <v>45600.0</v>
      </c>
      <c r="D45" s="2">
        <v>575.0</v>
      </c>
      <c r="E45" s="2">
        <v>0.0</v>
      </c>
      <c r="F45" s="2">
        <f t="shared" si="1"/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13.25"/>
    <col customWidth="1" min="4" max="4" width="24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45537.0</v>
      </c>
      <c r="D2" s="2">
        <v>6.0</v>
      </c>
      <c r="E2" s="2">
        <v>0.0</v>
      </c>
      <c r="F2" s="2">
        <f t="shared" ref="F2:F45" si="1">IF(OR(D2&gt;0, E2&gt;0), 1, 0)</f>
        <v>1</v>
      </c>
    </row>
    <row r="3">
      <c r="A3" s="2">
        <v>2.0</v>
      </c>
      <c r="B3" s="2" t="s">
        <v>7</v>
      </c>
      <c r="C3" s="3">
        <v>45537.0</v>
      </c>
      <c r="D3" s="2">
        <v>0.0</v>
      </c>
      <c r="E3" s="2">
        <v>0.0</v>
      </c>
      <c r="F3" s="2">
        <f t="shared" si="1"/>
        <v>0</v>
      </c>
    </row>
    <row r="4">
      <c r="A4" s="2">
        <v>3.0</v>
      </c>
      <c r="B4" s="2" t="s">
        <v>8</v>
      </c>
      <c r="C4" s="3">
        <v>45537.0</v>
      </c>
      <c r="D4" s="2">
        <v>0.0</v>
      </c>
      <c r="E4" s="2">
        <v>0.0</v>
      </c>
      <c r="F4" s="2">
        <f t="shared" si="1"/>
        <v>0</v>
      </c>
    </row>
    <row r="5">
      <c r="A5" s="2">
        <v>4.0</v>
      </c>
      <c r="B5" s="2" t="s">
        <v>9</v>
      </c>
      <c r="C5" s="3">
        <v>45537.0</v>
      </c>
      <c r="D5" s="2">
        <v>0.0</v>
      </c>
      <c r="E5" s="2">
        <v>0.0</v>
      </c>
      <c r="F5" s="2">
        <f t="shared" si="1"/>
        <v>0</v>
      </c>
    </row>
    <row r="6">
      <c r="A6" s="2">
        <v>5.0</v>
      </c>
      <c r="B6" s="2" t="s">
        <v>10</v>
      </c>
      <c r="C6" s="3">
        <v>45537.0</v>
      </c>
      <c r="D6" s="2">
        <v>0.0</v>
      </c>
      <c r="E6" s="2">
        <v>0.0</v>
      </c>
      <c r="F6" s="2">
        <f t="shared" si="1"/>
        <v>0</v>
      </c>
    </row>
    <row r="7">
      <c r="A7" s="2">
        <v>6.0</v>
      </c>
      <c r="B7" s="2" t="s">
        <v>11</v>
      </c>
      <c r="C7" s="3">
        <v>45537.0</v>
      </c>
      <c r="D7" s="2">
        <v>0.0</v>
      </c>
      <c r="E7" s="2">
        <v>0.0</v>
      </c>
      <c r="F7" s="2">
        <f t="shared" si="1"/>
        <v>0</v>
      </c>
    </row>
    <row r="8">
      <c r="A8" s="2">
        <v>7.0</v>
      </c>
      <c r="B8" s="2" t="s">
        <v>12</v>
      </c>
      <c r="C8" s="3">
        <v>45537.0</v>
      </c>
      <c r="D8" s="2">
        <v>0.0</v>
      </c>
      <c r="E8" s="2">
        <v>0.0</v>
      </c>
      <c r="F8" s="2">
        <f t="shared" si="1"/>
        <v>0</v>
      </c>
    </row>
    <row r="9">
      <c r="A9" s="2">
        <v>8.0</v>
      </c>
      <c r="B9" s="2" t="s">
        <v>13</v>
      </c>
      <c r="C9" s="3">
        <v>45537.0</v>
      </c>
      <c r="D9" s="2">
        <v>300.0</v>
      </c>
      <c r="E9" s="2">
        <v>0.0</v>
      </c>
      <c r="F9" s="2">
        <f t="shared" si="1"/>
        <v>1</v>
      </c>
    </row>
    <row r="10">
      <c r="A10" s="2">
        <v>9.0</v>
      </c>
      <c r="B10" s="2" t="s">
        <v>14</v>
      </c>
      <c r="C10" s="3">
        <v>45537.0</v>
      </c>
      <c r="D10" s="2">
        <v>9.0</v>
      </c>
      <c r="E10" s="2">
        <v>30.0</v>
      </c>
      <c r="F10" s="2">
        <f t="shared" si="1"/>
        <v>1</v>
      </c>
    </row>
    <row r="11">
      <c r="A11" s="2">
        <v>10.0</v>
      </c>
      <c r="B11" s="2" t="s">
        <v>15</v>
      </c>
      <c r="C11" s="3">
        <v>45537.0</v>
      </c>
      <c r="D11" s="2">
        <v>0.0</v>
      </c>
      <c r="E11" s="2">
        <v>0.0</v>
      </c>
      <c r="F11" s="2">
        <f t="shared" si="1"/>
        <v>0</v>
      </c>
    </row>
    <row r="12">
      <c r="A12" s="2">
        <v>11.0</v>
      </c>
      <c r="B12" s="2" t="s">
        <v>16</v>
      </c>
      <c r="C12" s="3">
        <v>45537.0</v>
      </c>
      <c r="D12" s="2">
        <v>0.0</v>
      </c>
      <c r="E12" s="2">
        <v>0.0</v>
      </c>
      <c r="F12" s="2">
        <f t="shared" si="1"/>
        <v>0</v>
      </c>
    </row>
    <row r="13">
      <c r="A13" s="2">
        <v>12.0</v>
      </c>
      <c r="B13" s="2" t="s">
        <v>17</v>
      </c>
      <c r="C13" s="3">
        <v>45537.0</v>
      </c>
      <c r="D13" s="2">
        <v>0.0</v>
      </c>
      <c r="E13" s="2">
        <v>0.0</v>
      </c>
      <c r="F13" s="2">
        <f t="shared" si="1"/>
        <v>0</v>
      </c>
    </row>
    <row r="14">
      <c r="A14" s="2">
        <v>13.0</v>
      </c>
      <c r="B14" s="2" t="s">
        <v>18</v>
      </c>
      <c r="C14" s="3">
        <v>45537.0</v>
      </c>
      <c r="D14" s="2">
        <v>0.0</v>
      </c>
      <c r="E14" s="2">
        <v>0.0</v>
      </c>
      <c r="F14" s="2">
        <f t="shared" si="1"/>
        <v>0</v>
      </c>
    </row>
    <row r="15">
      <c r="A15" s="2">
        <v>14.0</v>
      </c>
      <c r="B15" s="2" t="s">
        <v>19</v>
      </c>
      <c r="C15" s="3">
        <v>45537.0</v>
      </c>
      <c r="D15" s="2">
        <v>0.0</v>
      </c>
      <c r="E15" s="2">
        <v>0.0</v>
      </c>
      <c r="F15" s="2">
        <f t="shared" si="1"/>
        <v>0</v>
      </c>
    </row>
    <row r="16">
      <c r="A16" s="2">
        <v>15.0</v>
      </c>
      <c r="B16" s="2" t="s">
        <v>20</v>
      </c>
      <c r="C16" s="3">
        <v>45537.0</v>
      </c>
      <c r="D16" s="2">
        <v>0.0</v>
      </c>
      <c r="E16" s="2">
        <v>0.0</v>
      </c>
      <c r="F16" s="2">
        <f t="shared" si="1"/>
        <v>0</v>
      </c>
    </row>
    <row r="17">
      <c r="A17" s="2">
        <v>16.0</v>
      </c>
      <c r="B17" s="2" t="s">
        <v>21</v>
      </c>
      <c r="C17" s="3">
        <v>45537.0</v>
      </c>
      <c r="D17" s="2">
        <v>0.0</v>
      </c>
      <c r="E17" s="2">
        <v>0.0</v>
      </c>
      <c r="F17" s="2">
        <f t="shared" si="1"/>
        <v>0</v>
      </c>
    </row>
    <row r="18">
      <c r="A18" s="2">
        <v>17.0</v>
      </c>
      <c r="B18" s="2" t="s">
        <v>22</v>
      </c>
      <c r="C18" s="3">
        <v>45537.0</v>
      </c>
      <c r="D18" s="2">
        <v>0.0</v>
      </c>
      <c r="E18" s="2">
        <v>0.0</v>
      </c>
      <c r="F18" s="2">
        <f t="shared" si="1"/>
        <v>0</v>
      </c>
    </row>
    <row r="19">
      <c r="A19" s="2">
        <v>18.0</v>
      </c>
      <c r="B19" s="2" t="s">
        <v>23</v>
      </c>
      <c r="C19" s="3">
        <v>45537.0</v>
      </c>
      <c r="D19" s="2">
        <v>14.0</v>
      </c>
      <c r="E19" s="2">
        <v>35.0</v>
      </c>
      <c r="F19" s="2">
        <f t="shared" si="1"/>
        <v>1</v>
      </c>
    </row>
    <row r="20">
      <c r="A20" s="2">
        <v>19.0</v>
      </c>
      <c r="B20" s="2" t="s">
        <v>24</v>
      </c>
      <c r="C20" s="3">
        <v>45537.0</v>
      </c>
      <c r="D20" s="2">
        <v>0.0</v>
      </c>
      <c r="E20" s="2">
        <v>0.0</v>
      </c>
      <c r="F20" s="2">
        <f t="shared" si="1"/>
        <v>0</v>
      </c>
    </row>
    <row r="21">
      <c r="A21" s="2">
        <v>20.0</v>
      </c>
      <c r="B21" s="2" t="s">
        <v>25</v>
      </c>
      <c r="C21" s="3">
        <v>45537.0</v>
      </c>
      <c r="D21" s="2">
        <v>0.0</v>
      </c>
      <c r="E21" s="2">
        <v>0.0</v>
      </c>
      <c r="F21" s="2">
        <f t="shared" si="1"/>
        <v>0</v>
      </c>
    </row>
    <row r="22">
      <c r="A22" s="2">
        <v>21.0</v>
      </c>
      <c r="B22" s="2" t="s">
        <v>26</v>
      </c>
      <c r="C22" s="3">
        <v>45537.0</v>
      </c>
      <c r="D22" s="2">
        <v>3.0</v>
      </c>
      <c r="E22" s="2">
        <v>11.0</v>
      </c>
      <c r="F22" s="2">
        <f t="shared" si="1"/>
        <v>1</v>
      </c>
    </row>
    <row r="23">
      <c r="A23" s="2">
        <v>22.0</v>
      </c>
      <c r="B23" s="2" t="s">
        <v>27</v>
      </c>
      <c r="C23" s="3">
        <v>45537.0</v>
      </c>
      <c r="D23" s="2">
        <v>0.0</v>
      </c>
      <c r="E23" s="2">
        <v>0.0</v>
      </c>
      <c r="F23" s="2">
        <f t="shared" si="1"/>
        <v>0</v>
      </c>
    </row>
    <row r="24">
      <c r="A24" s="2">
        <v>23.0</v>
      </c>
      <c r="B24" s="2" t="s">
        <v>28</v>
      </c>
      <c r="C24" s="3">
        <v>45537.0</v>
      </c>
      <c r="D24" s="2">
        <v>0.0</v>
      </c>
      <c r="E24" s="2">
        <v>0.0</v>
      </c>
      <c r="F24" s="2">
        <f t="shared" si="1"/>
        <v>0</v>
      </c>
    </row>
    <row r="25">
      <c r="A25" s="2">
        <v>24.0</v>
      </c>
      <c r="B25" s="2" t="s">
        <v>29</v>
      </c>
      <c r="C25" s="3">
        <v>45537.0</v>
      </c>
      <c r="D25" s="2">
        <v>0.0</v>
      </c>
      <c r="E25" s="2">
        <v>0.0</v>
      </c>
      <c r="F25" s="2">
        <f t="shared" si="1"/>
        <v>0</v>
      </c>
    </row>
    <row r="26">
      <c r="A26" s="2">
        <v>25.0</v>
      </c>
      <c r="B26" s="2" t="s">
        <v>30</v>
      </c>
      <c r="C26" s="3">
        <v>45537.0</v>
      </c>
      <c r="D26" s="2">
        <v>85.0</v>
      </c>
      <c r="E26" s="2">
        <v>182.0</v>
      </c>
      <c r="F26" s="2">
        <f t="shared" si="1"/>
        <v>1</v>
      </c>
    </row>
    <row r="27">
      <c r="A27" s="2">
        <v>26.0</v>
      </c>
      <c r="B27" s="2" t="s">
        <v>31</v>
      </c>
      <c r="C27" s="3">
        <v>45537.0</v>
      </c>
      <c r="D27" s="2">
        <v>0.0</v>
      </c>
      <c r="E27" s="2">
        <v>0.0</v>
      </c>
      <c r="F27" s="2">
        <f t="shared" si="1"/>
        <v>0</v>
      </c>
    </row>
    <row r="28">
      <c r="A28" s="2">
        <v>27.0</v>
      </c>
      <c r="B28" s="2" t="s">
        <v>32</v>
      </c>
      <c r="C28" s="3">
        <v>45537.0</v>
      </c>
      <c r="D28" s="2">
        <v>0.0</v>
      </c>
      <c r="E28" s="2">
        <v>0.0</v>
      </c>
      <c r="F28" s="2">
        <f t="shared" si="1"/>
        <v>0</v>
      </c>
    </row>
    <row r="29">
      <c r="A29" s="2">
        <v>28.0</v>
      </c>
      <c r="B29" s="2" t="s">
        <v>33</v>
      </c>
      <c r="C29" s="3">
        <v>45537.0</v>
      </c>
      <c r="D29" s="2">
        <v>0.0</v>
      </c>
      <c r="E29" s="2">
        <v>0.0</v>
      </c>
      <c r="F29" s="2">
        <f t="shared" si="1"/>
        <v>0</v>
      </c>
    </row>
    <row r="30">
      <c r="A30" s="2">
        <v>29.0</v>
      </c>
      <c r="B30" s="2" t="s">
        <v>34</v>
      </c>
      <c r="C30" s="3">
        <v>45537.0</v>
      </c>
      <c r="D30" s="2">
        <v>0.0</v>
      </c>
      <c r="E30" s="2">
        <v>0.0</v>
      </c>
      <c r="F30" s="2">
        <f t="shared" si="1"/>
        <v>0</v>
      </c>
    </row>
    <row r="31">
      <c r="A31" s="2">
        <v>30.0</v>
      </c>
      <c r="B31" s="2" t="s">
        <v>35</v>
      </c>
      <c r="C31" s="3">
        <v>45537.0</v>
      </c>
      <c r="D31" s="2">
        <v>1.0</v>
      </c>
      <c r="E31" s="2">
        <v>3.0</v>
      </c>
      <c r="F31" s="2">
        <f t="shared" si="1"/>
        <v>1</v>
      </c>
    </row>
    <row r="32">
      <c r="A32" s="2">
        <v>31.0</v>
      </c>
      <c r="B32" s="2" t="s">
        <v>36</v>
      </c>
      <c r="C32" s="3">
        <v>45537.0</v>
      </c>
      <c r="D32" s="2">
        <v>0.0</v>
      </c>
      <c r="E32" s="2">
        <v>0.0</v>
      </c>
      <c r="F32" s="2">
        <f t="shared" si="1"/>
        <v>0</v>
      </c>
    </row>
    <row r="33">
      <c r="A33" s="2">
        <v>32.0</v>
      </c>
      <c r="B33" s="2" t="s">
        <v>37</v>
      </c>
      <c r="C33" s="3">
        <v>45537.0</v>
      </c>
      <c r="D33" s="2">
        <v>0.0</v>
      </c>
      <c r="E33" s="2">
        <v>0.0</v>
      </c>
      <c r="F33" s="2">
        <f t="shared" si="1"/>
        <v>0</v>
      </c>
    </row>
    <row r="34">
      <c r="A34" s="2">
        <v>33.0</v>
      </c>
      <c r="B34" s="2" t="s">
        <v>38</v>
      </c>
      <c r="C34" s="3">
        <v>45537.0</v>
      </c>
      <c r="D34" s="2">
        <v>1.0</v>
      </c>
      <c r="E34" s="2">
        <v>1.0</v>
      </c>
      <c r="F34" s="2">
        <f t="shared" si="1"/>
        <v>1</v>
      </c>
    </row>
    <row r="35">
      <c r="A35" s="2">
        <v>34.0</v>
      </c>
      <c r="B35" s="2" t="s">
        <v>39</v>
      </c>
      <c r="C35" s="3">
        <v>45537.0</v>
      </c>
      <c r="D35" s="2">
        <v>0.0</v>
      </c>
      <c r="E35" s="2">
        <v>0.0</v>
      </c>
      <c r="F35" s="2">
        <f t="shared" si="1"/>
        <v>0</v>
      </c>
    </row>
    <row r="36">
      <c r="A36" s="2">
        <v>35.0</v>
      </c>
      <c r="B36" s="2" t="s">
        <v>40</v>
      </c>
      <c r="C36" s="3">
        <v>45537.0</v>
      </c>
      <c r="D36" s="2">
        <v>10.0</v>
      </c>
      <c r="E36" s="2">
        <v>38.0</v>
      </c>
      <c r="F36" s="2">
        <f t="shared" si="1"/>
        <v>1</v>
      </c>
    </row>
    <row r="37">
      <c r="A37" s="2">
        <v>36.0</v>
      </c>
      <c r="B37" s="2" t="s">
        <v>41</v>
      </c>
      <c r="C37" s="3">
        <v>45537.0</v>
      </c>
      <c r="D37" s="2">
        <v>0.0</v>
      </c>
      <c r="E37" s="2">
        <v>0.0</v>
      </c>
      <c r="F37" s="2">
        <f t="shared" si="1"/>
        <v>0</v>
      </c>
    </row>
    <row r="38">
      <c r="A38" s="2">
        <v>37.0</v>
      </c>
      <c r="B38" s="2" t="s">
        <v>42</v>
      </c>
      <c r="C38" s="3">
        <v>45537.0</v>
      </c>
      <c r="D38" s="2">
        <v>21.0</v>
      </c>
      <c r="E38" s="2">
        <v>49.0</v>
      </c>
      <c r="F38" s="2">
        <f t="shared" si="1"/>
        <v>1</v>
      </c>
    </row>
    <row r="39">
      <c r="A39" s="2">
        <v>38.0</v>
      </c>
      <c r="B39" s="2" t="s">
        <v>43</v>
      </c>
      <c r="C39" s="3">
        <v>45537.0</v>
      </c>
      <c r="D39" s="2">
        <v>0.0</v>
      </c>
      <c r="E39" s="2">
        <v>0.0</v>
      </c>
      <c r="F39" s="2">
        <f t="shared" si="1"/>
        <v>0</v>
      </c>
    </row>
    <row r="40">
      <c r="A40" s="2">
        <v>39.0</v>
      </c>
      <c r="B40" s="2" t="s">
        <v>44</v>
      </c>
      <c r="C40" s="3">
        <v>45537.0</v>
      </c>
      <c r="D40" s="2">
        <v>1.0</v>
      </c>
      <c r="E40" s="2">
        <v>1.0</v>
      </c>
      <c r="F40" s="2">
        <f t="shared" si="1"/>
        <v>1</v>
      </c>
    </row>
    <row r="41">
      <c r="A41" s="2">
        <v>40.0</v>
      </c>
      <c r="B41" s="2" t="s">
        <v>45</v>
      </c>
      <c r="C41" s="3">
        <v>45537.0</v>
      </c>
      <c r="D41" s="2">
        <v>0.0</v>
      </c>
      <c r="E41" s="2">
        <v>0.0</v>
      </c>
      <c r="F41" s="2">
        <f t="shared" si="1"/>
        <v>0</v>
      </c>
    </row>
    <row r="42">
      <c r="A42" s="2">
        <v>41.0</v>
      </c>
      <c r="B42" s="2" t="s">
        <v>46</v>
      </c>
      <c r="C42" s="3">
        <v>45537.0</v>
      </c>
      <c r="D42" s="2">
        <v>0.0</v>
      </c>
      <c r="E42" s="2">
        <v>0.0</v>
      </c>
      <c r="F42" s="2">
        <f t="shared" si="1"/>
        <v>0</v>
      </c>
    </row>
    <row r="43">
      <c r="A43" s="2">
        <v>42.0</v>
      </c>
      <c r="B43" s="2" t="s">
        <v>47</v>
      </c>
      <c r="C43" s="3">
        <v>45537.0</v>
      </c>
      <c r="D43" s="2">
        <v>0.0</v>
      </c>
      <c r="E43" s="2">
        <v>0.0</v>
      </c>
      <c r="F43" s="2">
        <f t="shared" si="1"/>
        <v>0</v>
      </c>
    </row>
    <row r="44">
      <c r="A44" s="2">
        <v>43.0</v>
      </c>
      <c r="B44" s="2" t="s">
        <v>48</v>
      </c>
      <c r="C44" s="3">
        <v>45537.0</v>
      </c>
      <c r="D44" s="2">
        <v>163.0</v>
      </c>
      <c r="E44" s="2">
        <v>435.0</v>
      </c>
      <c r="F44" s="2">
        <f t="shared" si="1"/>
        <v>1</v>
      </c>
    </row>
    <row r="45">
      <c r="A45" s="2">
        <v>44.0</v>
      </c>
      <c r="B45" s="2" t="s">
        <v>49</v>
      </c>
      <c r="C45" s="3">
        <v>45537.0</v>
      </c>
      <c r="D45" s="2">
        <v>311.0</v>
      </c>
      <c r="E45" s="2">
        <v>0.0</v>
      </c>
      <c r="F45" s="2">
        <f t="shared" si="1"/>
        <v>1</v>
      </c>
    </row>
    <row r="46">
      <c r="F46" s="5">
        <f>SUM(F2:F45)</f>
        <v>13</v>
      </c>
    </row>
  </sheetData>
  <drawing r:id="rId1"/>
</worksheet>
</file>